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1 - MRP Multi-Level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<sst xmlns="http://schemas.openxmlformats.org/spreadsheetml/2006/main" count="134" uniqueCount="40">
  <si>
    <t xml:space="preserve">CASE 1: MRP RECORD CALCULATION — MULTI-LEVEL BOM</t>
  </si>
  <si>
    <t xml:space="preserve">Calculation Worksheet</t>
  </si>
  <si>
    <t xml:space="preserve">SCENARIO: Widget X is made from 2 units of Component Y. Component Y requires 3 units of Part Z.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</si>
  <si>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</si>
  <si>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</si>
  <si>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</si>
  <si>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Build the multi-level MRP records for the finished good and its components.</t>
  </si>
  <si>
    <t xml:space="preserve">Self-check targets.</t>
  </si>
  <si>
    <t xml:space="preserve">Your task: Complete gross/net requirements and planned order receipts &amp; releases for all three items.</t>
  </si>
  <si>
    <t xml:space="preserve">Planned Order Releases</t>
  </si>
  <si>
    <t xml:space="preserve">Complete the MRP records for all three items and determine planned order releases.</t>
  </si>
  <si>
    <t xml:space="preserve">Approach: Net req = gross − scheduled receipts − projected on-hand; offset releases by lead time; explode parent releases into component gross requirements.</t>
  </si>
  <si>
    <t xml:space="preserve">Time: ~30 min   •   Fill the shaded input cells, then check the ANSWER KEY sheet only after you finish.</t>
  </si>
  <si>
    <t xml:space="preserve">ITEM X (Finished Good)</t>
  </si>
  <si>
    <t xml:space="preserve">Lead Time: 1 week | Lot Size: LFL | Safety Stock: 0 | On Hand: 50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</si>
  <si>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</si>
  <si>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</si>
  <si>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</si>
  <si>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</si>
  <si>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</si>
  <si>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</si>
  <si>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Gross Requirements</t>
  </si>
  <si>
    <t xml:space="preserve">Scheduled Receipts</t>
  </si>
  <si>
    <t xml:space="preserve">Projected Available</t>
  </si>
  <si>
    <t xml:space="preserve">Net Requirements</t>
  </si>
  <si>
    <t xml:space="preserve">Planned Order Receipts</t>
  </si>
  <si>
    <t xml:space="preserve">ITEM Y (Component) — 2 per X</t>
  </si>
  <si>
    <t xml:space="preserve">Lead Time: 2 weeks | Lot Size: 100 (Fixed) | Safety Stock: 20 | On Hand: 80</t>
  </si>
  <si>
    <t xml:space="preserve">ITEM Z (Raw Material) — 3 per Y</t>
  </si>
  <si>
    <t xml:space="preserve">Lead Time: 3 weeks | Lot Size: 500 (Min) | Safety Stock: 50 | On Hand: 200</t>
  </si>
  <si>
    <t xml:space="preserve">EXAM-STYLE QUESTIONS:</t>
  </si>
  <si>
    <t xml:space="preserve">Answer using the results you computed above.</t>
  </si>
  <si>
    <t xml:space="preserve">Q1: What is the Planned Order Release for Item X in Week 3?</t>
  </si>
  <si>
    <t xml:space="preserve">Your Answer:</t>
  </si>
  <si>
    <t xml:space="preserve">Q2: What is the Gross Requirement for Item Y in Week 4? (Hint: X PORel × 2)</t>
  </si>
  <si>
    <t xml:space="preserve">Q3: If Item Y has a fixed lot size of 100 and SS=20, what is the Planned Order Receipt in Week 2?</t>
  </si>
  <si>
    <t xml:space="preserve">Q4: What is the earliest week Item Z must release an order to avoid stockout?</t>
  </si>
  <si>
    <t xml:space="preserve">Q5: If lead time for Y increases to 3 weeks, which planned orders would need to be expedited?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</si>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</sst>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DBEAFE"/>
        <bgColor rgb="FFCCFFFF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2"/>
    <col collapsed="false" customWidth="true" hidden="false" outlineLevel="0" max="12" min="12" style="1" width="20"/>
    <col collapsed="false" customWidth="true" hidden="false" outlineLevel="0" max="17" min="17" style="1" width="24"/>
    <col collapsed="false" customWidth="true" hidden="false" outlineLevel="0" max="19" min="19" style="1" width="12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L6" s="2" t="s">
        <v>4</v>
      </c>
      <c r="M6" s="2"/>
      <c r="N6" s="2"/>
      <c r="O6" s="2"/>
      <c r="Q6" s="2" t="s">
        <v>5</v>
      </c>
      <c r="R6" s="2"/>
      <c r="S6" s="2"/>
    </row>
    <row r="7" customFormat="false" ht="23.85" hidden="false" customHeight="true" outlineLevel="0" collapsed="false">
      <c r="L7" s="6" t="s">
        <v>6</v>
      </c>
      <c r="M7" s="6"/>
      <c r="N7" s="6"/>
      <c r="O7" s="6"/>
      <c r="Q7" s="7" t="s">
        <v>7</v>
      </c>
      <c r="R7" s="7"/>
      <c r="S7" s="7"/>
    </row>
    <row r="8" customFormat="false" ht="23.8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L8" s="6" t="s">
        <v>8</v>
      </c>
      <c r="M8" s="6"/>
      <c r="N8" s="6"/>
      <c r="O8" s="6"/>
      <c r="Q8" s="8" t="s">
        <v>9</v>
      </c>
      <c r="R8" s="8"/>
      <c r="S8" s="9" t="n">
        <v>0</v>
      </c>
    </row>
    <row r="9" customFormat="false" ht="35.05" hidden="false" customHeight="true" outlineLevel="0" collapsed="false">
      <c r="A9" s="8" t="s">
        <v>10</v>
      </c>
      <c r="B9" s="8"/>
      <c r="C9" s="8"/>
      <c r="D9" s="8"/>
      <c r="E9" s="8"/>
      <c r="F9" s="8"/>
      <c r="G9" s="8"/>
      <c r="H9" s="8"/>
      <c r="I9" s="8"/>
      <c r="J9" s="8"/>
      <c r="L9" s="6" t="s">
        <v>11</v>
      </c>
      <c r="M9" s="6"/>
      <c r="N9" s="6"/>
      <c r="O9" s="6"/>
    </row>
    <row r="10" customFormat="false" ht="23.85" hidden="false" customHeight="true" outlineLevel="0" collapsed="false">
      <c r="L10" s="6" t="s">
        <v>12</v>
      </c>
      <c r="M10" s="6"/>
      <c r="N10" s="6"/>
      <c r="O10" s="6"/>
    </row>
    <row r="11" customFormat="false" ht="15" hidden="false" customHeight="false" outlineLevel="0" collapsed="false">
      <c r="A11" s="10" t="s">
        <v>13</v>
      </c>
    </row>
    <row r="12" customFormat="false" ht="15" hidden="false" customHeight="false" outlineLevel="0" collapsed="false">
      <c r="A12" s="11" t="s">
        <v>14</v>
      </c>
    </row>
    <row r="14" customFormat="false" ht="15" hidden="false" customHeight="false" outlineLevel="0" collapsed="false"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</row>
    <row r="15" customFormat="false" ht="15" hidden="false" customHeight="false" outlineLevel="0" collapsed="false">
      <c r="A15" s="10" t="s">
        <v>21</v>
      </c>
      <c r="B15" s="12" t="n">
        <v>30</v>
      </c>
      <c r="C15" s="12" t="n">
        <v>40</v>
      </c>
      <c r="D15" s="12" t="n">
        <v>50</v>
      </c>
      <c r="E15" s="12" t="n">
        <v>60</v>
      </c>
      <c r="F15" s="12" t="n">
        <v>40</v>
      </c>
      <c r="G15" s="12" t="n">
        <v>30</v>
      </c>
    </row>
    <row r="16" customFormat="false" ht="15" hidden="false" customHeight="false" outlineLevel="0" collapsed="false">
      <c r="A16" s="10" t="s">
        <v>22</v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</row>
    <row r="17" customFormat="false" ht="15" hidden="false" customHeight="false" outlineLevel="0" collapsed="false">
      <c r="A17" s="10" t="s">
        <v>23</v>
      </c>
      <c r="B17" s="13"/>
      <c r="C17" s="13"/>
      <c r="D17" s="13"/>
      <c r="E17" s="13"/>
      <c r="F17" s="13"/>
      <c r="G17" s="13"/>
    </row>
    <row r="18" customFormat="false" ht="15" hidden="false" customHeight="false" outlineLevel="0" collapsed="false">
      <c r="A18" s="10" t="s">
        <v>24</v>
      </c>
      <c r="B18" s="13"/>
      <c r="C18" s="13"/>
      <c r="D18" s="13"/>
      <c r="E18" s="13"/>
      <c r="F18" s="13"/>
      <c r="G18" s="13"/>
    </row>
    <row r="19" customFormat="false" ht="15" hidden="false" customHeight="false" outlineLevel="0" collapsed="false">
      <c r="A19" s="10" t="s">
        <v>25</v>
      </c>
      <c r="B19" s="13"/>
      <c r="C19" s="13"/>
      <c r="D19" s="13"/>
      <c r="E19" s="13"/>
      <c r="F19" s="13"/>
      <c r="G19" s="13"/>
    </row>
    <row r="20" customFormat="false" ht="15" hidden="false" customHeight="false" outlineLevel="0" collapsed="false">
      <c r="A20" s="10" t="s">
        <v>9</v>
      </c>
      <c r="B20" s="13"/>
      <c r="C20" s="13"/>
      <c r="D20" s="13"/>
      <c r="E20" s="13"/>
      <c r="F20" s="13"/>
      <c r="G20" s="13"/>
    </row>
    <row r="23" customFormat="false" ht="15" hidden="false" customHeight="false" outlineLevel="0" collapsed="false">
      <c r="A23" s="10" t="s">
        <v>26</v>
      </c>
    </row>
    <row r="24" customFormat="false" ht="15" hidden="false" customHeight="false" outlineLevel="0" collapsed="false">
      <c r="A24" s="11" t="s">
        <v>27</v>
      </c>
    </row>
    <row r="26" customFormat="false" ht="15" hidden="false" customHeight="false" outlineLevel="0" collapsed="false">
      <c r="B26" s="2" t="s">
        <v>15</v>
      </c>
      <c r="C26" s="2" t="s">
        <v>16</v>
      </c>
      <c r="D26" s="2" t="s">
        <v>17</v>
      </c>
      <c r="E26" s="2" t="s">
        <v>18</v>
      </c>
      <c r="F26" s="2" t="s">
        <v>19</v>
      </c>
      <c r="G26" s="2" t="s">
        <v>20</v>
      </c>
    </row>
    <row r="27" customFormat="false" ht="15" hidden="false" customHeight="false" outlineLevel="0" collapsed="false">
      <c r="A27" s="10" t="s">
        <v>21</v>
      </c>
      <c r="B27" s="13"/>
      <c r="C27" s="13"/>
      <c r="D27" s="13"/>
      <c r="E27" s="13"/>
      <c r="F27" s="13"/>
      <c r="G27" s="13"/>
    </row>
    <row r="28" customFormat="false" ht="15" hidden="false" customHeight="false" outlineLevel="0" collapsed="false">
      <c r="A28" s="10" t="s">
        <v>22</v>
      </c>
      <c r="B28" s="12" t="n">
        <v>100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</row>
    <row r="29" customFormat="false" ht="15" hidden="false" customHeight="false" outlineLevel="0" collapsed="false">
      <c r="A29" s="10" t="s">
        <v>23</v>
      </c>
      <c r="B29" s="13"/>
      <c r="C29" s="13"/>
      <c r="D29" s="13"/>
      <c r="E29" s="13"/>
      <c r="F29" s="13"/>
      <c r="G29" s="13"/>
    </row>
    <row r="30" customFormat="false" ht="15" hidden="false" customHeight="false" outlineLevel="0" collapsed="false">
      <c r="A30" s="10" t="s">
        <v>24</v>
      </c>
      <c r="B30" s="13"/>
      <c r="C30" s="13"/>
      <c r="D30" s="13"/>
      <c r="E30" s="13"/>
      <c r="F30" s="13"/>
      <c r="G30" s="13"/>
    </row>
    <row r="31" customFormat="false" ht="15" hidden="false" customHeight="false" outlineLevel="0" collapsed="false">
      <c r="A31" s="10" t="s">
        <v>25</v>
      </c>
      <c r="B31" s="13"/>
      <c r="C31" s="13"/>
      <c r="D31" s="13"/>
      <c r="E31" s="13"/>
      <c r="F31" s="13"/>
      <c r="G31" s="13"/>
    </row>
    <row r="32" customFormat="false" ht="15" hidden="false" customHeight="false" outlineLevel="0" collapsed="false">
      <c r="A32" s="10" t="s">
        <v>9</v>
      </c>
      <c r="B32" s="13"/>
      <c r="C32" s="13"/>
      <c r="D32" s="13"/>
      <c r="E32" s="13"/>
      <c r="F32" s="13"/>
      <c r="G32" s="13"/>
    </row>
    <row r="35" customFormat="false" ht="15" hidden="false" customHeight="false" outlineLevel="0" collapsed="false">
      <c r="A35" s="10" t="s">
        <v>28</v>
      </c>
    </row>
    <row r="36" customFormat="false" ht="15" hidden="false" customHeight="false" outlineLevel="0" collapsed="false">
      <c r="A36" s="11" t="s">
        <v>29</v>
      </c>
    </row>
    <row r="38" customFormat="false" ht="15" hidden="false" customHeight="false" outlineLevel="0" collapsed="false">
      <c r="B38" s="2" t="s">
        <v>15</v>
      </c>
      <c r="C38" s="2" t="s">
        <v>16</v>
      </c>
      <c r="D38" s="2" t="s">
        <v>17</v>
      </c>
      <c r="E38" s="2" t="s">
        <v>18</v>
      </c>
      <c r="F38" s="2" t="s">
        <v>19</v>
      </c>
      <c r="G38" s="2" t="s">
        <v>20</v>
      </c>
    </row>
    <row r="39" customFormat="false" ht="15" hidden="false" customHeight="false" outlineLevel="0" collapsed="false">
      <c r="A39" s="10" t="s">
        <v>21</v>
      </c>
      <c r="B39" s="13"/>
      <c r="C39" s="13"/>
      <c r="D39" s="13"/>
      <c r="E39" s="13"/>
      <c r="F39" s="13"/>
      <c r="G39" s="13"/>
    </row>
    <row r="40" customFormat="false" ht="15" hidden="false" customHeight="false" outlineLevel="0" collapsed="false">
      <c r="A40" s="10" t="s">
        <v>22</v>
      </c>
      <c r="B40" s="12" t="n">
        <v>0</v>
      </c>
      <c r="C40" s="12" t="n">
        <v>0</v>
      </c>
      <c r="D40" s="12" t="n">
        <v>500</v>
      </c>
      <c r="E40" s="12" t="n">
        <v>0</v>
      </c>
      <c r="F40" s="12" t="n">
        <v>0</v>
      </c>
      <c r="G40" s="12" t="n">
        <v>0</v>
      </c>
    </row>
    <row r="41" customFormat="false" ht="15" hidden="false" customHeight="false" outlineLevel="0" collapsed="false">
      <c r="A41" s="10" t="s">
        <v>23</v>
      </c>
      <c r="B41" s="13"/>
      <c r="C41" s="13"/>
      <c r="D41" s="13"/>
      <c r="E41" s="13"/>
      <c r="F41" s="13"/>
      <c r="G41" s="13"/>
    </row>
    <row r="42" customFormat="false" ht="15" hidden="false" customHeight="false" outlineLevel="0" collapsed="false">
      <c r="A42" s="10" t="s">
        <v>24</v>
      </c>
      <c r="B42" s="13"/>
      <c r="C42" s="13"/>
      <c r="D42" s="13"/>
      <c r="E42" s="13"/>
      <c r="F42" s="13"/>
      <c r="G42" s="13"/>
    </row>
    <row r="43" customFormat="false" ht="15" hidden="false" customHeight="false" outlineLevel="0" collapsed="false">
      <c r="A43" s="10" t="s">
        <v>25</v>
      </c>
      <c r="B43" s="13"/>
      <c r="C43" s="13"/>
      <c r="D43" s="13"/>
      <c r="E43" s="13"/>
      <c r="F43" s="13"/>
      <c r="G43" s="13"/>
    </row>
    <row r="44" customFormat="false" ht="15" hidden="false" customHeight="false" outlineLevel="0" collapsed="false">
      <c r="A44" s="10" t="s">
        <v>9</v>
      </c>
      <c r="B44" s="13"/>
      <c r="C44" s="13"/>
      <c r="D44" s="13"/>
      <c r="E44" s="13"/>
      <c r="F44" s="13"/>
      <c r="G44" s="13"/>
    </row>
    <row r="47" customFormat="false" ht="15" hidden="false" customHeight="false" outlineLevel="0" collapsed="false">
      <c r="A47" s="10" t="s">
        <v>30</v>
      </c>
      <c r="C47" s="14" t="s">
        <v>31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9" customFormat="false" ht="15" hidden="false" customHeight="false" outlineLevel="0" collapsed="false">
      <c r="A49" s="11" t="s">
        <v>32</v>
      </c>
      <c r="G49" s="10" t="s">
        <v>33</v>
      </c>
    </row>
    <row r="50" customFormat="false" ht="15" hidden="false" customHeight="false" outlineLevel="0" collapsed="false">
      <c r="A50" s="11" t="s">
        <v>34</v>
      </c>
      <c r="G50" s="10" t="s">
        <v>33</v>
      </c>
    </row>
    <row r="51" customFormat="false" ht="15" hidden="false" customHeight="false" outlineLevel="0" collapsed="false">
      <c r="A51" s="11" t="s">
        <v>35</v>
      </c>
      <c r="G51" s="10" t="s">
        <v>33</v>
      </c>
    </row>
    <row r="52" customFormat="false" ht="15" hidden="false" customHeight="false" outlineLevel="0" collapsed="false">
      <c r="A52" s="11" t="s">
        <v>36</v>
      </c>
      <c r="G52" s="10" t="s">
        <v>33</v>
      </c>
    </row>
    <row r="53" customFormat="false" ht="15" hidden="false" customHeight="false" outlineLevel="0" collapsed="false">
      <c r="A53" s="11" t="s">
        <v>37</v>
      </c>
      <c r="G53" s="10" t="s">
        <v>33</v>
      </c>
    </row>
  </sheetData>
  <mergeCells count="16">
    <mergeCell ref="A1:O1"/>
    <mergeCell ref="A2:O2"/>
    <mergeCell ref="A3:O3"/>
    <mergeCell ref="A4:O4"/>
    <mergeCell ref="A6:J6"/>
    <mergeCell ref="L6:O6"/>
    <mergeCell ref="Q6:S6"/>
    <mergeCell ref="L7:O7"/>
    <mergeCell ref="Q7:S7"/>
    <mergeCell ref="A8:J8"/>
    <mergeCell ref="L8:O8"/>
    <mergeCell ref="Q8:R8"/>
    <mergeCell ref="A9:J9"/>
    <mergeCell ref="L9:O9"/>
    <mergeCell ref="L10:O10"/>
    <mergeCell ref="C47:O47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2"/>
    <col collapsed="false" customWidth="true" hidden="false" outlineLevel="0" max="12" min="12" style="1" width="20"/>
    <col collapsed="false" customWidth="true" hidden="false" outlineLevel="0" max="17" min="17" style="1" width="24"/>
    <col collapsed="false" customWidth="true" hidden="false" outlineLevel="0" max="19" min="19" style="1" width="12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true" outlineLevel="0" collapsed="false">
      <c r="A4" s="4" t="s">
        <v>39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L6" s="2" t="s">
        <v>4</v>
      </c>
      <c r="M6" s="2"/>
      <c r="N6" s="2"/>
      <c r="O6" s="2"/>
      <c r="Q6" s="2" t="s">
        <v>5</v>
      </c>
      <c r="R6" s="2"/>
      <c r="S6" s="2"/>
    </row>
    <row r="7" customFormat="false" ht="23.85" hidden="false" customHeight="true" outlineLevel="0" collapsed="false">
      <c r="L7" s="6" t="s">
        <v>6</v>
      </c>
      <c r="M7" s="6"/>
      <c r="N7" s="6"/>
      <c r="O7" s="6"/>
      <c r="Q7" s="7" t="s">
        <v>7</v>
      </c>
      <c r="R7" s="7"/>
      <c r="S7" s="7"/>
    </row>
    <row r="8" customFormat="false" ht="23.8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L8" s="6" t="s">
        <v>8</v>
      </c>
      <c r="M8" s="6"/>
      <c r="N8" s="6"/>
      <c r="O8" s="6"/>
      <c r="Q8" s="8" t="s">
        <v>9</v>
      </c>
      <c r="R8" s="8"/>
      <c r="S8" s="9" t="n">
        <v>0</v>
      </c>
    </row>
    <row r="9" customFormat="false" ht="35.05" hidden="false" customHeight="true" outlineLevel="0" collapsed="false">
      <c r="A9" s="8" t="s">
        <v>10</v>
      </c>
      <c r="B9" s="8"/>
      <c r="C9" s="8"/>
      <c r="D9" s="8"/>
      <c r="E9" s="8"/>
      <c r="F9" s="8"/>
      <c r="G9" s="8"/>
      <c r="H9" s="8"/>
      <c r="I9" s="8"/>
      <c r="J9" s="8"/>
      <c r="L9" s="6" t="s">
        <v>11</v>
      </c>
      <c r="M9" s="6"/>
      <c r="N9" s="6"/>
      <c r="O9" s="6"/>
    </row>
    <row r="10" customFormat="false" ht="23.85" hidden="false" customHeight="true" outlineLevel="0" collapsed="false">
      <c r="L10" s="6" t="s">
        <v>12</v>
      </c>
      <c r="M10" s="6"/>
      <c r="N10" s="6"/>
      <c r="O10" s="6"/>
    </row>
    <row r="11" customFormat="false" ht="15" hidden="false" customHeight="false" outlineLevel="0" collapsed="false">
      <c r="A11" s="10" t="s">
        <v>13</v>
      </c>
    </row>
    <row r="12" customFormat="false" ht="15" hidden="false" customHeight="false" outlineLevel="0" collapsed="false">
      <c r="A12" s="11" t="s">
        <v>14</v>
      </c>
    </row>
    <row r="14" customFormat="false" ht="15" hidden="false" customHeight="false" outlineLevel="0" collapsed="false"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</row>
    <row r="15" customFormat="false" ht="15" hidden="false" customHeight="false" outlineLevel="0" collapsed="false">
      <c r="A15" s="10" t="s">
        <v>21</v>
      </c>
      <c r="B15" s="12" t="n">
        <v>30</v>
      </c>
      <c r="C15" s="12" t="n">
        <v>40</v>
      </c>
      <c r="D15" s="12" t="n">
        <v>50</v>
      </c>
      <c r="E15" s="12" t="n">
        <v>60</v>
      </c>
      <c r="F15" s="12" t="n">
        <v>40</v>
      </c>
      <c r="G15" s="12" t="n">
        <v>30</v>
      </c>
    </row>
    <row r="16" customFormat="false" ht="15" hidden="false" customHeight="false" outlineLevel="0" collapsed="false">
      <c r="A16" s="10" t="s">
        <v>22</v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</row>
    <row r="17" customFormat="false" ht="15" hidden="false" customHeight="false" outlineLevel="0" collapsed="false">
      <c r="A17" s="10" t="s">
        <v>23</v>
      </c>
      <c r="B17" s="13" t="n">
        <f aca="false">50+B16+B19-B15</f>
        <v>20</v>
      </c>
      <c r="C17" s="13" t="n">
        <f aca="false">B17+C16+C19-C15</f>
        <v>0</v>
      </c>
      <c r="D17" s="13" t="n">
        <f aca="false">C17+D16+D19-D15</f>
        <v>0</v>
      </c>
      <c r="E17" s="13" t="n">
        <f aca="false">D17+E16+E19-E15</f>
        <v>0</v>
      </c>
      <c r="F17" s="13" t="n">
        <f aca="false">E17+F16+F19-F15</f>
        <v>0</v>
      </c>
      <c r="G17" s="13" t="n">
        <f aca="false">F17+G16+G19-G15</f>
        <v>0</v>
      </c>
    </row>
    <row r="18" customFormat="false" ht="15" hidden="false" customHeight="false" outlineLevel="0" collapsed="false">
      <c r="A18" s="10" t="s">
        <v>24</v>
      </c>
      <c r="B18" s="13" t="n">
        <f aca="false">MAX(0,B15-B16-50)</f>
        <v>0</v>
      </c>
      <c r="C18" s="13" t="n">
        <f aca="false">MAX(0,C15-C16-B17)</f>
        <v>20</v>
      </c>
      <c r="D18" s="13" t="n">
        <f aca="false">MAX(0,D15-D16-C17)</f>
        <v>50</v>
      </c>
      <c r="E18" s="13" t="n">
        <f aca="false">MAX(0,E15-E16-D17)</f>
        <v>60</v>
      </c>
      <c r="F18" s="13" t="n">
        <f aca="false">MAX(0,F15-F16-E17)</f>
        <v>40</v>
      </c>
      <c r="G18" s="13" t="n">
        <f aca="false">MAX(0,G15-G16-F17)</f>
        <v>30</v>
      </c>
    </row>
    <row r="19" customFormat="false" ht="15" hidden="false" customHeight="false" outlineLevel="0" collapsed="false">
      <c r="A19" s="10" t="s">
        <v>25</v>
      </c>
      <c r="B19" s="13" t="n">
        <f aca="false">B18</f>
        <v>0</v>
      </c>
      <c r="C19" s="13" t="n">
        <f aca="false">C18</f>
        <v>20</v>
      </c>
      <c r="D19" s="13" t="n">
        <f aca="false">D18</f>
        <v>50</v>
      </c>
      <c r="E19" s="13" t="n">
        <f aca="false">E18</f>
        <v>60</v>
      </c>
      <c r="F19" s="13" t="n">
        <f aca="false">F18</f>
        <v>40</v>
      </c>
      <c r="G19" s="13" t="n">
        <f aca="false">G18</f>
        <v>30</v>
      </c>
    </row>
    <row r="20" customFormat="false" ht="15" hidden="false" customHeight="false" outlineLevel="0" collapsed="false">
      <c r="A20" s="10" t="s">
        <v>9</v>
      </c>
      <c r="B20" s="13" t="n">
        <f aca="false">C19</f>
        <v>20</v>
      </c>
      <c r="C20" s="13" t="n">
        <f aca="false">D19</f>
        <v>50</v>
      </c>
      <c r="D20" s="13" t="n">
        <f aca="false">E19</f>
        <v>60</v>
      </c>
      <c r="E20" s="13" t="n">
        <f aca="false">F19</f>
        <v>40</v>
      </c>
      <c r="F20" s="13" t="n">
        <f aca="false">G19</f>
        <v>30</v>
      </c>
      <c r="G20" s="13" t="n">
        <f aca="false">0</f>
        <v>0</v>
      </c>
    </row>
    <row r="23" customFormat="false" ht="15" hidden="false" customHeight="false" outlineLevel="0" collapsed="false">
      <c r="A23" s="10" t="s">
        <v>26</v>
      </c>
    </row>
    <row r="24" customFormat="false" ht="15" hidden="false" customHeight="false" outlineLevel="0" collapsed="false">
      <c r="A24" s="11" t="s">
        <v>27</v>
      </c>
    </row>
    <row r="26" customFormat="false" ht="15" hidden="false" customHeight="false" outlineLevel="0" collapsed="false">
      <c r="B26" s="2" t="s">
        <v>15</v>
      </c>
      <c r="C26" s="2" t="s">
        <v>16</v>
      </c>
      <c r="D26" s="2" t="s">
        <v>17</v>
      </c>
      <c r="E26" s="2" t="s">
        <v>18</v>
      </c>
      <c r="F26" s="2" t="s">
        <v>19</v>
      </c>
      <c r="G26" s="2" t="s">
        <v>20</v>
      </c>
    </row>
    <row r="27" customFormat="false" ht="15" hidden="false" customHeight="false" outlineLevel="0" collapsed="false">
      <c r="A27" s="10" t="s">
        <v>21</v>
      </c>
      <c r="B27" s="13" t="n">
        <f aca="false">2*B20</f>
        <v>40</v>
      </c>
      <c r="C27" s="13" t="n">
        <f aca="false">2*C20</f>
        <v>100</v>
      </c>
      <c r="D27" s="13" t="n">
        <f aca="false">2*D20</f>
        <v>120</v>
      </c>
      <c r="E27" s="13" t="n">
        <f aca="false">2*E20</f>
        <v>80</v>
      </c>
      <c r="F27" s="13" t="n">
        <f aca="false">2*F20</f>
        <v>60</v>
      </c>
      <c r="G27" s="13" t="n">
        <f aca="false">2*G20</f>
        <v>0</v>
      </c>
    </row>
    <row r="28" customFormat="false" ht="15" hidden="false" customHeight="false" outlineLevel="0" collapsed="false">
      <c r="A28" s="10" t="s">
        <v>22</v>
      </c>
      <c r="B28" s="12" t="n">
        <v>100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</row>
    <row r="29" customFormat="false" ht="15" hidden="false" customHeight="false" outlineLevel="0" collapsed="false">
      <c r="A29" s="10" t="s">
        <v>23</v>
      </c>
      <c r="B29" s="13" t="n">
        <f aca="false">80+B28+B31-B27</f>
        <v>140</v>
      </c>
      <c r="C29" s="13" t="n">
        <f aca="false">B29+C28+C31-C27</f>
        <v>40</v>
      </c>
      <c r="D29" s="13" t="n">
        <f aca="false">C29+D28+D31-D27</f>
        <v>20</v>
      </c>
      <c r="E29" s="13" t="n">
        <f aca="false">D29+E28+E31-E27</f>
        <v>40</v>
      </c>
      <c r="F29" s="13" t="n">
        <f aca="false">E29+F28+F31-F27</f>
        <v>80</v>
      </c>
      <c r="G29" s="13" t="n">
        <f aca="false">F29+G28+G31-G27</f>
        <v>80</v>
      </c>
    </row>
    <row r="30" customFormat="false" ht="15" hidden="false" customHeight="false" outlineLevel="0" collapsed="false">
      <c r="A30" s="10" t="s">
        <v>24</v>
      </c>
      <c r="B30" s="13" t="n">
        <f aca="false">MAX(0,20+B27-B28-80)</f>
        <v>0</v>
      </c>
      <c r="C30" s="13" t="n">
        <f aca="false">MAX(0,20+C27-C28-B29)</f>
        <v>0</v>
      </c>
      <c r="D30" s="13" t="n">
        <f aca="false">MAX(0,20+D27-D28-C29)</f>
        <v>100</v>
      </c>
      <c r="E30" s="13" t="n">
        <f aca="false">MAX(0,20+E27-E28-D29)</f>
        <v>80</v>
      </c>
      <c r="F30" s="13" t="n">
        <f aca="false">MAX(0,20+F27-F28-E29)</f>
        <v>40</v>
      </c>
      <c r="G30" s="13" t="n">
        <f aca="false">MAX(0,20+G27-G28-F29)</f>
        <v>0</v>
      </c>
    </row>
    <row r="31" customFormat="false" ht="15" hidden="false" customHeight="false" outlineLevel="0" collapsed="false">
      <c r="A31" s="10" t="s">
        <v>25</v>
      </c>
      <c r="B31" s="13" t="n">
        <f aca="false">IF(B30&gt;0,CEILING(B30,100),0)</f>
        <v>0</v>
      </c>
      <c r="C31" s="13" t="n">
        <f aca="false">IF(C30&gt;0,CEILING(C30,100),0)</f>
        <v>0</v>
      </c>
      <c r="D31" s="13" t="n">
        <f aca="false">IF(D30&gt;0,CEILING(D30,100),0)</f>
        <v>100</v>
      </c>
      <c r="E31" s="13" t="n">
        <f aca="false">IF(E30&gt;0,CEILING(E30,100),0)</f>
        <v>100</v>
      </c>
      <c r="F31" s="13" t="n">
        <f aca="false">IF(F30&gt;0,CEILING(F30,100),0)</f>
        <v>100</v>
      </c>
      <c r="G31" s="13" t="n">
        <f aca="false">IF(G30&gt;0,CEILING(G30,100),0)</f>
        <v>0</v>
      </c>
    </row>
    <row r="32" customFormat="false" ht="15" hidden="false" customHeight="false" outlineLevel="0" collapsed="false">
      <c r="A32" s="10" t="s">
        <v>9</v>
      </c>
      <c r="B32" s="13" t="n">
        <f aca="false">D31</f>
        <v>100</v>
      </c>
      <c r="C32" s="13" t="n">
        <f aca="false">E31</f>
        <v>100</v>
      </c>
      <c r="D32" s="13" t="n">
        <f aca="false">F31</f>
        <v>100</v>
      </c>
      <c r="E32" s="13" t="n">
        <f aca="false">G31</f>
        <v>0</v>
      </c>
      <c r="F32" s="13" t="n">
        <f aca="false">0</f>
        <v>0</v>
      </c>
      <c r="G32" s="13" t="n">
        <f aca="false">0</f>
        <v>0</v>
      </c>
    </row>
    <row r="35" customFormat="false" ht="15" hidden="false" customHeight="false" outlineLevel="0" collapsed="false">
      <c r="A35" s="10" t="s">
        <v>28</v>
      </c>
    </row>
    <row r="36" customFormat="false" ht="15" hidden="false" customHeight="false" outlineLevel="0" collapsed="false">
      <c r="A36" s="11" t="s">
        <v>29</v>
      </c>
    </row>
    <row r="38" customFormat="false" ht="15" hidden="false" customHeight="false" outlineLevel="0" collapsed="false">
      <c r="B38" s="2" t="s">
        <v>15</v>
      </c>
      <c r="C38" s="2" t="s">
        <v>16</v>
      </c>
      <c r="D38" s="2" t="s">
        <v>17</v>
      </c>
      <c r="E38" s="2" t="s">
        <v>18</v>
      </c>
      <c r="F38" s="2" t="s">
        <v>19</v>
      </c>
      <c r="G38" s="2" t="s">
        <v>20</v>
      </c>
    </row>
    <row r="39" customFormat="false" ht="15" hidden="false" customHeight="false" outlineLevel="0" collapsed="false">
      <c r="A39" s="10" t="s">
        <v>21</v>
      </c>
      <c r="B39" s="13" t="n">
        <f aca="false">3*B32</f>
        <v>300</v>
      </c>
      <c r="C39" s="13" t="n">
        <f aca="false">3*C32</f>
        <v>300</v>
      </c>
      <c r="D39" s="13" t="n">
        <f aca="false">3*D32</f>
        <v>300</v>
      </c>
      <c r="E39" s="13" t="n">
        <f aca="false">3*E32</f>
        <v>0</v>
      </c>
      <c r="F39" s="13" t="n">
        <f aca="false">3*F32</f>
        <v>0</v>
      </c>
      <c r="G39" s="13" t="n">
        <f aca="false">3*G32</f>
        <v>0</v>
      </c>
    </row>
    <row r="40" customFormat="false" ht="15" hidden="false" customHeight="false" outlineLevel="0" collapsed="false">
      <c r="A40" s="10" t="s">
        <v>22</v>
      </c>
      <c r="B40" s="12" t="n">
        <v>0</v>
      </c>
      <c r="C40" s="12" t="n">
        <v>0</v>
      </c>
      <c r="D40" s="12" t="n">
        <v>500</v>
      </c>
      <c r="E40" s="12" t="n">
        <v>0</v>
      </c>
      <c r="F40" s="12" t="n">
        <v>0</v>
      </c>
      <c r="G40" s="12" t="n">
        <v>0</v>
      </c>
    </row>
    <row r="41" customFormat="false" ht="15" hidden="false" customHeight="false" outlineLevel="0" collapsed="false">
      <c r="A41" s="10" t="s">
        <v>23</v>
      </c>
      <c r="B41" s="13" t="n">
        <f aca="false">200+B40+B43-B39</f>
        <v>400</v>
      </c>
      <c r="C41" s="13" t="n">
        <f aca="false">B41+C40+C43-C39</f>
        <v>100</v>
      </c>
      <c r="D41" s="13" t="n">
        <f aca="false">C41+D40+D43-D39</f>
        <v>300</v>
      </c>
      <c r="E41" s="13" t="n">
        <f aca="false">D41+E40+E43-E39</f>
        <v>300</v>
      </c>
      <c r="F41" s="13" t="n">
        <f aca="false">E41+F40+F43-F39</f>
        <v>300</v>
      </c>
      <c r="G41" s="13" t="n">
        <f aca="false">F41+G40+G43-G39</f>
        <v>300</v>
      </c>
    </row>
    <row r="42" customFormat="false" ht="15" hidden="false" customHeight="false" outlineLevel="0" collapsed="false">
      <c r="A42" s="10" t="s">
        <v>24</v>
      </c>
      <c r="B42" s="13" t="n">
        <f aca="false">MAX(0,50+B39-B40-200)</f>
        <v>150</v>
      </c>
      <c r="C42" s="13" t="n">
        <f aca="false">MAX(0,50+C39-C40-B41)</f>
        <v>0</v>
      </c>
      <c r="D42" s="13" t="n">
        <f aca="false">MAX(0,50+D39-D40-C41)</f>
        <v>0</v>
      </c>
      <c r="E42" s="13" t="n">
        <f aca="false">MAX(0,50+E39-E40-D41)</f>
        <v>0</v>
      </c>
      <c r="F42" s="13" t="n">
        <f aca="false">MAX(0,50+F39-F40-E41)</f>
        <v>0</v>
      </c>
      <c r="G42" s="13" t="n">
        <f aca="false">MAX(0,50+G39-G40-F41)</f>
        <v>0</v>
      </c>
    </row>
    <row r="43" customFormat="false" ht="15" hidden="false" customHeight="false" outlineLevel="0" collapsed="false">
      <c r="A43" s="10" t="s">
        <v>25</v>
      </c>
      <c r="B43" s="13" t="n">
        <f aca="false">IF(B42&gt;0,MAX(500,B42),0)</f>
        <v>500</v>
      </c>
      <c r="C43" s="13" t="n">
        <f aca="false">IF(C42&gt;0,MAX(500,C42),0)</f>
        <v>0</v>
      </c>
      <c r="D43" s="13" t="n">
        <f aca="false">IF(D42&gt;0,MAX(500,D42),0)</f>
        <v>0</v>
      </c>
      <c r="E43" s="13" t="n">
        <f aca="false">IF(E42&gt;0,MAX(500,E42),0)</f>
        <v>0</v>
      </c>
      <c r="F43" s="13" t="n">
        <f aca="false">IF(F42&gt;0,MAX(500,F42),0)</f>
        <v>0</v>
      </c>
      <c r="G43" s="13" t="n">
        <f aca="false">IF(G42&gt;0,MAX(500,G42),0)</f>
        <v>0</v>
      </c>
    </row>
    <row r="44" customFormat="false" ht="15" hidden="false" customHeight="false" outlineLevel="0" collapsed="false">
      <c r="A44" s="10" t="s">
        <v>9</v>
      </c>
      <c r="B44" s="13" t="n">
        <f aca="false">E43</f>
        <v>0</v>
      </c>
      <c r="C44" s="13" t="n">
        <f aca="false">F43</f>
        <v>0</v>
      </c>
      <c r="D44" s="13" t="n">
        <f aca="false">G43</f>
        <v>0</v>
      </c>
      <c r="E44" s="13" t="n">
        <f aca="false">0</f>
        <v>0</v>
      </c>
      <c r="F44" s="13" t="n">
        <f aca="false">0</f>
        <v>0</v>
      </c>
      <c r="G44" s="13" t="n">
        <f aca="false">0</f>
        <v>0</v>
      </c>
    </row>
    <row r="47" customFormat="false" ht="15" hidden="false" customHeight="false" outlineLevel="0" collapsed="false">
      <c r="A47" s="10" t="s">
        <v>30</v>
      </c>
      <c r="C47" s="14" t="s">
        <v>31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9" customFormat="false" ht="15" hidden="false" customHeight="false" outlineLevel="0" collapsed="false">
      <c r="A49" s="11" t="s">
        <v>32</v>
      </c>
      <c r="G49" s="10" t="s">
        <v>33</v>
      </c>
    </row>
    <row r="50" customFormat="false" ht="15" hidden="false" customHeight="false" outlineLevel="0" collapsed="false">
      <c r="A50" s="11" t="s">
        <v>34</v>
      </c>
      <c r="G50" s="10" t="s">
        <v>33</v>
      </c>
    </row>
    <row r="51" customFormat="false" ht="15" hidden="false" customHeight="false" outlineLevel="0" collapsed="false">
      <c r="A51" s="11" t="s">
        <v>35</v>
      </c>
      <c r="G51" s="10" t="s">
        <v>33</v>
      </c>
    </row>
    <row r="52" customFormat="false" ht="15" hidden="false" customHeight="false" outlineLevel="0" collapsed="false">
      <c r="A52" s="11" t="s">
        <v>36</v>
      </c>
      <c r="G52" s="10" t="s">
        <v>33</v>
      </c>
    </row>
    <row r="53" customFormat="false" ht="15" hidden="false" customHeight="false" outlineLevel="0" collapsed="false">
      <c r="A53" s="11" t="s">
        <v>37</v>
      </c>
      <c r="G53" s="10" t="s">
        <v>33</v>
      </c>
    </row>
  </sheetData>
  <mergeCells count="16">
    <mergeCell ref="A1:O1"/>
    <mergeCell ref="A2:O2"/>
    <mergeCell ref="A3:O3"/>
    <mergeCell ref="A4:O4"/>
    <mergeCell ref="A6:J6"/>
    <mergeCell ref="L6:O6"/>
    <mergeCell ref="Q6:S6"/>
    <mergeCell ref="L7:O7"/>
    <mergeCell ref="Q7:S7"/>
    <mergeCell ref="A8:J8"/>
    <mergeCell ref="L8:O8"/>
    <mergeCell ref="Q8:R8"/>
    <mergeCell ref="A9:J9"/>
    <mergeCell ref="L9:O9"/>
    <mergeCell ref="L10:O10"/>
    <mergeCell ref="C47:O47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2026-07-08T19:17:38Z</dcterms:created>
  <dc:creator>openpyxl</dc:creator>
  <dc:description/>
  <dc:language>en-US</dc:language>
  <cp:lastModifiedBy/>
  <dcterms:modified xsi:type="dcterms:W3CDTF">2026-07-08T19:17:38Z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