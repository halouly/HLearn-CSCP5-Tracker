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e 3 - Inventory Costing" sheetId="1" state="visible" r:id="rId3"/>
    <sheet name="Solu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<sst xmlns="http://schemas.openxmlformats.org/spreadsheetml/2006/main" count="147" uniqueCount="62">
  <si>
    <t xml:space="preserve">CASE 3: INVENTORY VALUATION — FIFO vs LIFO vs WEIGHTED AVERAGE</t>
  </si>
  <si>
    <t xml:space="preserve">Calculation Worksheet</t>
  </si>
  <si>
    <t xml:space="preserve">SCENARIO: (Matches ECM Sample Question #4)</t>
  </si>
  <si>
    <t xml:space="preserve">HOW TO USE: Blue cells are given. Green cells are yours to compute. Self-check against the Check Figures panel.</t>
  </si>
  <si>
    <t xml:space="preserve">▸ HOW TO COMPLETE THIS CASE</t>
  </si>
  <si>
    <t xml:space="preserve">CHECK FIGURES</t>
  </si>
  <si>
    <t xml:space="preserve">Objective: Compare how FIFO, LIFO and weighted-average value inventory.</t>
  </si>
  <si>
    <t xml:space="preserve">Self-check targets.</t>
  </si>
  <si>
    <t xml:space="preserve">Your task: Track the transaction log and compute ending inventory value and COGS under each method.</t>
  </si>
  <si>
    <t xml:space="preserve">LIFO</t>
  </si>
  <si>
    <t xml:space="preserve">Track inventory transactions and calculate cost of goods sold using all three methods.</t>
  </si>
  <si>
    <t xml:space="preserve">Approach: Apply each costing rule to the same purchases/issues; note tax and margin effects.</t>
  </si>
  <si>
    <t xml:space="preserve">Weighted Avg</t>
  </si>
  <si>
    <t xml:space="preserve">Time: ~25 min   •   Fill the shaded input cells, then check the ANSWER KEY sheet only after you finish.</t>
  </si>
  <si>
    <t xml:space="preserve">Date</t>
  </si>
  <si>
    <t xml:space="preserve">Transaction</t>
  </si>
  <si>
    <t xml:space="preserve">Units</t>
  </si>
  <si>
    <t xml:space="preserve">Unit Cost</t>
  </si>
  <si>
    <t xml:space="preserve">Total Cost</t>
  </si>
  <si>
    <t xml:space="preserve">Running Units</t>
  </si>
  <si>
    <t xml:space="preserve">Running Value</t>
  </si>
  <si>
    <t xml:space="preserve">Dec 27</t>
  </si>
  <si>
    <t xml:space="preserve">Beginning</t>
  </si>
  <si>
    <t xml:space="preserve">-</t>
  </si>
  <si>
    <t xml:space="preserve">Dec 28</t>
  </si>
  <si>
    <t xml:space="preserve">Purchase</t>
  </si>
  <si>
    <t xml:space="preserve">Jan 3</t>
  </si>
  <si>
    <t xml:space="preserve">Jan 8</t>
  </si>
  <si>
    <t xml:space="preserve">SALE</t>
  </si>
  <si>
    <t xml:space="preserve">???</t>
  </si>
  <si>
    <t xml:space="preserve">Jan 10</t>
  </si>
  <si>
    <t xml:space="preserve">METHOD 1: FIFO (First In, First Out)</t>
  </si>
  <si>
    <t xml:space="preserve">Layers sold (100 units on Jan 8):</t>
  </si>
  <si>
    <t xml:space="preserve">Layer 1: 100 units @ $10.00 = $1,000</t>
  </si>
  <si>
    <t xml:space="preserve">COGS (FIFO):</t>
  </si>
  <si>
    <t xml:space="preserve">Cost per unit:</t>
  </si>
  <si>
    <t xml:space="preserve">METHOD 2: LIFO (Last In, First Out)</t>
  </si>
  <si>
    <t xml:space="preserve">Layer 1: 10 units @ $11.00 = $110</t>
  </si>
  <si>
    <t xml:space="preserve">Layer 2: 90 units @ $10.00 = $900</t>
  </si>
  <si>
    <t xml:space="preserve">COGS (LIFO):</t>
  </si>
  <si>
    <t xml:space="preserve">METHOD 3: WEIGHTED AVERAGE</t>
  </si>
  <si>
    <t xml:space="preserve">Total units available before sale: 110</t>
  </si>
  <si>
    <t xml:space="preserve">Total cost before sale: $1,110</t>
  </si>
  <si>
    <t xml:space="preserve">Weighted Avg Cost:</t>
  </si>
  <si>
    <t xml:space="preserve">COGS (100 units × Avg):</t>
  </si>
  <si>
    <t xml:space="preserve">SUMMARY COMPARISON</t>
  </si>
  <si>
    <t xml:space="preserve">Record summary results in the green cells.</t>
  </si>
  <si>
    <t xml:space="preserve">Method</t>
  </si>
  <si>
    <t xml:space="preserve">COGS (100 units)</t>
  </si>
  <si>
    <t xml:space="preserve">Ending Inventory Value</t>
  </si>
  <si>
    <t xml:space="preserve">Units Remaining</t>
  </si>
  <si>
    <t xml:space="preserve">EXAM-STYLE QUESTIONS:</t>
  </si>
  <si>
    <t xml:space="preserve">Answer using the results you computed above.</t>
  </si>
  <si>
    <t xml:space="preserve">Q1: Using weighted average, what is the cost per unit for the Jan 8 sale? (Match ECM Q4)</t>
  </si>
  <si>
    <t xml:space="preserve">Answer:</t>
  </si>
  <si>
    <t xml:space="preserve">Q2: Which method results in the LOWEST COGS during rising prices?</t>
  </si>
  <si>
    <t xml:space="preserve">Q3: Which method results in the HIGHEST ending inventory value during rising prices?</t>
  </si>
  <si>
    <t xml:space="preserve">Q4: If tax minimization is the goal during inflation, which method should be used?</t>
  </si>
  <si>
    <t xml:space="preserve">Q5: After the Jan 10 purchase, what is the new weighted average cost per unit?</t>
  </si>
  <si>
    <t xml:space="preserve">Solution Key</t>
  </si>
  <si>
    <t xml:space="preserve">SOLUTION: green cells show worked answers; blue cells are the given inputs.</t>
  </si>
  <si>
    <t xml:space="preserve">FIFO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</si>
</sst>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DBEAFE"/>
        <bgColor rgb="FFCCFFFF"/>
      </patternFill>
    </fill>
    <fill>
      <patternFill patternType="solid">
        <fgColor rgb="FFF0FD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DF4"/>
      <rgbColor rgb="FFDBEA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5"/>
    <col collapsed="false" customWidth="true" hidden="false" outlineLevel="0" max="10" min="10" style="0" width="20"/>
    <col collapsed="false" customWidth="true" hidden="false" outlineLevel="0" max="15" min="15" style="0" width="24"/>
    <col collapsed="false" customWidth="true" hidden="false" outlineLevel="0" max="17" min="17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J6" s="1" t="s">
        <v>4</v>
      </c>
      <c r="K6" s="1"/>
      <c r="L6" s="1"/>
      <c r="M6" s="1"/>
      <c r="O6" s="1" t="s">
        <v>5</v>
      </c>
      <c r="P6" s="1"/>
      <c r="Q6" s="1"/>
    </row>
    <row r="7" customFormat="false" ht="23.85" hidden="false" customHeight="true" outlineLevel="0" collapsed="false">
      <c r="J7" s="5" t="s">
        <v>6</v>
      </c>
      <c r="K7" s="5"/>
      <c r="L7" s="5"/>
      <c r="M7" s="5"/>
      <c r="O7" s="6" t="s">
        <v>7</v>
      </c>
      <c r="P7" s="6"/>
      <c r="Q7" s="6"/>
    </row>
    <row r="8" customFormat="false" ht="23.85" hidden="false" customHeight="true" outlineLevel="0" collapsed="false">
      <c r="J8" s="5" t="s">
        <v>8</v>
      </c>
      <c r="K8" s="5"/>
      <c r="L8" s="5"/>
      <c r="M8" s="5"/>
      <c r="O8" s="7" t="s">
        <v>9</v>
      </c>
      <c r="P8" s="7"/>
      <c r="Q8" s="8" t="n">
        <v>20</v>
      </c>
    </row>
    <row r="9" customFormat="false" ht="23.85" hidden="false" customHeight="true" outlineLevel="0" collapsed="false">
      <c r="A9" s="9" t="s">
        <v>10</v>
      </c>
      <c r="J9" s="5" t="s">
        <v>11</v>
      </c>
      <c r="K9" s="5"/>
      <c r="L9" s="5"/>
      <c r="M9" s="5"/>
      <c r="O9" s="7" t="s">
        <v>12</v>
      </c>
      <c r="P9" s="7"/>
      <c r="Q9" s="8" t="n">
        <v>1009.0909</v>
      </c>
    </row>
    <row r="10" customFormat="false" ht="23.85" hidden="false" customHeight="true" outlineLevel="0" collapsed="false">
      <c r="J10" s="5" t="s">
        <v>13</v>
      </c>
      <c r="K10" s="5"/>
      <c r="L10" s="5"/>
      <c r="M10" s="5"/>
      <c r="O10" s="7" t="s">
        <v>12</v>
      </c>
      <c r="P10" s="7"/>
      <c r="Q10" s="8" t="n">
        <v>180.9091</v>
      </c>
    </row>
    <row r="11" customFormat="false" ht="15" hidden="false" customHeight="false" outlineLevel="0" collapsed="false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  <c r="G11" s="1" t="s">
        <v>20</v>
      </c>
      <c r="O11" s="7" t="s">
        <v>12</v>
      </c>
      <c r="P11" s="7"/>
      <c r="Q11" s="8" t="n">
        <v>20</v>
      </c>
    </row>
    <row r="12" customFormat="false" ht="15" hidden="false" customHeight="false" outlineLevel="0" collapsed="false">
      <c r="A12" s="10" t="s">
        <v>21</v>
      </c>
      <c r="B12" s="10" t="s">
        <v>22</v>
      </c>
      <c r="C12" s="10" t="n">
        <v>0</v>
      </c>
      <c r="D12" s="10" t="s">
        <v>23</v>
      </c>
      <c r="E12" s="10" t="n">
        <v>0</v>
      </c>
      <c r="F12" s="10" t="n">
        <v>0</v>
      </c>
      <c r="G12" s="10" t="n">
        <v>0</v>
      </c>
    </row>
    <row r="13" customFormat="false" ht="15" hidden="false" customHeight="false" outlineLevel="0" collapsed="false">
      <c r="A13" s="10" t="s">
        <v>24</v>
      </c>
      <c r="B13" s="10" t="s">
        <v>25</v>
      </c>
      <c r="C13" s="10" t="n">
        <v>100</v>
      </c>
      <c r="D13" s="10" t="n">
        <v>10</v>
      </c>
      <c r="E13" s="10" t="n">
        <v>1000</v>
      </c>
      <c r="F13" s="10" t="n">
        <v>100</v>
      </c>
      <c r="G13" s="10" t="n">
        <v>1000</v>
      </c>
    </row>
    <row r="14" customFormat="false" ht="15" hidden="false" customHeight="false" outlineLevel="0" collapsed="false">
      <c r="A14" s="10" t="s">
        <v>26</v>
      </c>
      <c r="B14" s="10" t="s">
        <v>25</v>
      </c>
      <c r="C14" s="10" t="n">
        <v>10</v>
      </c>
      <c r="D14" s="10" t="n">
        <v>11</v>
      </c>
      <c r="E14" s="10" t="n">
        <v>110</v>
      </c>
      <c r="F14" s="10" t="n">
        <v>110</v>
      </c>
      <c r="G14" s="10" t="n">
        <v>1110</v>
      </c>
    </row>
    <row r="15" customFormat="false" ht="15" hidden="false" customHeight="false" outlineLevel="0" collapsed="false">
      <c r="A15" s="9" t="s">
        <v>27</v>
      </c>
      <c r="B15" s="9" t="s">
        <v>28</v>
      </c>
      <c r="C15" s="9" t="n">
        <v>-100</v>
      </c>
      <c r="D15" s="9" t="s">
        <v>29</v>
      </c>
      <c r="E15" s="9" t="s">
        <v>29</v>
      </c>
      <c r="F15" s="9" t="n">
        <v>10</v>
      </c>
      <c r="G15" s="9" t="s">
        <v>29</v>
      </c>
    </row>
    <row r="16" customFormat="false" ht="15" hidden="false" customHeight="false" outlineLevel="0" collapsed="false">
      <c r="A16" s="10" t="s">
        <v>30</v>
      </c>
      <c r="B16" s="10" t="s">
        <v>25</v>
      </c>
      <c r="C16" s="10" t="n">
        <v>10</v>
      </c>
      <c r="D16" s="10" t="n">
        <v>8</v>
      </c>
      <c r="E16" s="10" t="n">
        <v>80</v>
      </c>
      <c r="F16" s="10" t="n">
        <v>20</v>
      </c>
      <c r="G16" s="10" t="s">
        <v>29</v>
      </c>
    </row>
    <row r="19" customFormat="false" ht="15" hidden="false" customHeight="false" outlineLevel="0" collapsed="false">
      <c r="A19" s="11" t="s">
        <v>31</v>
      </c>
    </row>
    <row r="20" customFormat="false" ht="15" hidden="false" customHeight="false" outlineLevel="0" collapsed="false">
      <c r="A20" s="9" t="s">
        <v>32</v>
      </c>
    </row>
    <row r="21" customFormat="false" ht="15" hidden="false" customHeight="false" outlineLevel="0" collapsed="false">
      <c r="A21" s="9" t="s">
        <v>33</v>
      </c>
    </row>
    <row r="22" customFormat="false" ht="15" hidden="false" customHeight="false" outlineLevel="0" collapsed="false">
      <c r="A22" s="9" t="s">
        <v>34</v>
      </c>
      <c r="B22" s="12"/>
      <c r="C22" s="9" t="s">
        <v>35</v>
      </c>
      <c r="D22" s="12"/>
    </row>
    <row r="25" customFormat="false" ht="15" hidden="false" customHeight="false" outlineLevel="0" collapsed="false">
      <c r="A25" s="11" t="s">
        <v>36</v>
      </c>
    </row>
    <row r="26" customFormat="false" ht="15" hidden="false" customHeight="false" outlineLevel="0" collapsed="false">
      <c r="A26" s="9" t="s">
        <v>32</v>
      </c>
    </row>
    <row r="27" customFormat="false" ht="15" hidden="false" customHeight="false" outlineLevel="0" collapsed="false">
      <c r="A27" s="9" t="s">
        <v>37</v>
      </c>
    </row>
    <row r="28" customFormat="false" ht="15" hidden="false" customHeight="false" outlineLevel="0" collapsed="false">
      <c r="A28" s="9" t="s">
        <v>38</v>
      </c>
    </row>
    <row r="29" customFormat="false" ht="15" hidden="false" customHeight="false" outlineLevel="0" collapsed="false">
      <c r="A29" s="9" t="s">
        <v>39</v>
      </c>
      <c r="B29" s="12"/>
      <c r="C29" s="9" t="s">
        <v>35</v>
      </c>
      <c r="D29" s="12"/>
    </row>
    <row r="32" customFormat="false" ht="15" hidden="false" customHeight="false" outlineLevel="0" collapsed="false">
      <c r="A32" s="11" t="s">
        <v>40</v>
      </c>
    </row>
    <row r="33" customFormat="false" ht="15" hidden="false" customHeight="false" outlineLevel="0" collapsed="false">
      <c r="A33" s="9" t="s">
        <v>41</v>
      </c>
    </row>
    <row r="34" customFormat="false" ht="15" hidden="false" customHeight="false" outlineLevel="0" collapsed="false">
      <c r="A34" s="9" t="s">
        <v>42</v>
      </c>
    </row>
    <row r="35" customFormat="false" ht="15" hidden="false" customHeight="false" outlineLevel="0" collapsed="false">
      <c r="A35" s="9" t="s">
        <v>43</v>
      </c>
      <c r="B35" s="12"/>
    </row>
    <row r="36" customFormat="false" ht="15" hidden="false" customHeight="false" outlineLevel="0" collapsed="false">
      <c r="A36" s="9" t="s">
        <v>44</v>
      </c>
      <c r="B36" s="12"/>
    </row>
    <row r="39" customFormat="false" ht="15" hidden="false" customHeight="false" outlineLevel="0" collapsed="false">
      <c r="A39" s="11" t="s">
        <v>45</v>
      </c>
      <c r="C39" s="13" t="s">
        <v>46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</row>
    <row r="40" customFormat="false" ht="15" hidden="false" customHeight="false" outlineLevel="0" collapsed="false">
      <c r="A40" s="1" t="s">
        <v>47</v>
      </c>
      <c r="B40" s="1" t="s">
        <v>48</v>
      </c>
      <c r="C40" s="1" t="s">
        <v>49</v>
      </c>
      <c r="D40" s="1" t="s">
        <v>50</v>
      </c>
    </row>
    <row r="41" customFormat="false" ht="15" hidden="false" customHeight="false" outlineLevel="0" collapsed="false">
      <c r="A41" s="12"/>
      <c r="B41" s="12"/>
      <c r="C41" s="12"/>
      <c r="D41" s="12"/>
    </row>
    <row r="42" customFormat="false" ht="15" hidden="false" customHeight="false" outlineLevel="0" collapsed="false">
      <c r="A42" s="12"/>
      <c r="B42" s="12"/>
      <c r="C42" s="12"/>
      <c r="D42" s="12"/>
    </row>
    <row r="43" customFormat="false" ht="15" hidden="false" customHeight="false" outlineLevel="0" collapsed="false">
      <c r="A43" s="12"/>
      <c r="B43" s="12"/>
      <c r="C43" s="12"/>
      <c r="D43" s="12"/>
    </row>
    <row r="46" customFormat="false" ht="15" hidden="false" customHeight="false" outlineLevel="0" collapsed="false">
      <c r="A46" s="11" t="s">
        <v>51</v>
      </c>
      <c r="C46" s="13" t="s">
        <v>52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</row>
    <row r="48" customFormat="false" ht="15" hidden="false" customHeight="false" outlineLevel="0" collapsed="false">
      <c r="A48" s="14" t="s">
        <v>53</v>
      </c>
      <c r="B48" s="14"/>
      <c r="C48" s="14"/>
      <c r="D48" s="14"/>
      <c r="E48" s="14"/>
      <c r="F48" s="11" t="s">
        <v>54</v>
      </c>
    </row>
    <row r="49" customFormat="false" ht="15" hidden="false" customHeight="false" outlineLevel="0" collapsed="false">
      <c r="A49" s="14" t="s">
        <v>55</v>
      </c>
      <c r="B49" s="14"/>
      <c r="C49" s="14"/>
      <c r="D49" s="14"/>
      <c r="E49" s="14"/>
      <c r="F49" s="11" t="s">
        <v>54</v>
      </c>
    </row>
    <row r="50" customFormat="false" ht="15" hidden="false" customHeight="false" outlineLevel="0" collapsed="false">
      <c r="A50" s="14" t="s">
        <v>56</v>
      </c>
      <c r="B50" s="14"/>
      <c r="C50" s="14"/>
      <c r="D50" s="14"/>
      <c r="E50" s="14"/>
      <c r="F50" s="11" t="s">
        <v>54</v>
      </c>
    </row>
    <row r="51" customFormat="false" ht="15" hidden="false" customHeight="false" outlineLevel="0" collapsed="false">
      <c r="A51" s="14" t="s">
        <v>57</v>
      </c>
      <c r="B51" s="14"/>
      <c r="C51" s="14"/>
      <c r="D51" s="14"/>
      <c r="E51" s="14"/>
      <c r="F51" s="11" t="s">
        <v>54</v>
      </c>
    </row>
    <row r="52" customFormat="false" ht="15" hidden="false" customHeight="false" outlineLevel="0" collapsed="false">
      <c r="A52" s="14" t="s">
        <v>58</v>
      </c>
      <c r="B52" s="14"/>
      <c r="C52" s="14"/>
      <c r="D52" s="14"/>
      <c r="E52" s="14"/>
      <c r="F52" s="11" t="s">
        <v>54</v>
      </c>
    </row>
  </sheetData>
  <mergeCells count="23">
    <mergeCell ref="A1:M1"/>
    <mergeCell ref="A2:M2"/>
    <mergeCell ref="A3:M3"/>
    <mergeCell ref="A4:M4"/>
    <mergeCell ref="A6:H6"/>
    <mergeCell ref="J6:M6"/>
    <mergeCell ref="O6:Q6"/>
    <mergeCell ref="J7:M7"/>
    <mergeCell ref="O7:Q7"/>
    <mergeCell ref="J8:M8"/>
    <mergeCell ref="O8:P8"/>
    <mergeCell ref="J9:M9"/>
    <mergeCell ref="O9:P9"/>
    <mergeCell ref="J10:M10"/>
    <mergeCell ref="O10:P10"/>
    <mergeCell ref="O11:P11"/>
    <mergeCell ref="C39:M39"/>
    <mergeCell ref="C46:M46"/>
    <mergeCell ref="A48:E48"/>
    <mergeCell ref="A49:E49"/>
    <mergeCell ref="A50:E50"/>
    <mergeCell ref="A51:E51"/>
    <mergeCell ref="A52:E52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5"/>
    <col collapsed="false" customWidth="true" hidden="false" outlineLevel="0" max="10" min="10" style="0" width="20"/>
    <col collapsed="false" customWidth="true" hidden="false" outlineLevel="0" max="15" min="15" style="0" width="24"/>
    <col collapsed="false" customWidth="true" hidden="false" outlineLevel="0" max="17" min="17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true" outlineLevel="0" collapsed="false">
      <c r="A4" s="3" t="s">
        <v>60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J6" s="1" t="s">
        <v>4</v>
      </c>
      <c r="K6" s="1"/>
      <c r="L6" s="1"/>
      <c r="M6" s="1"/>
      <c r="O6" s="1" t="s">
        <v>5</v>
      </c>
      <c r="P6" s="1"/>
      <c r="Q6" s="1"/>
    </row>
    <row r="7" customFormat="false" ht="23.85" hidden="false" customHeight="true" outlineLevel="0" collapsed="false">
      <c r="J7" s="5" t="s">
        <v>6</v>
      </c>
      <c r="K7" s="5"/>
      <c r="L7" s="5"/>
      <c r="M7" s="5"/>
      <c r="O7" s="6" t="s">
        <v>7</v>
      </c>
      <c r="P7" s="6"/>
      <c r="Q7" s="6"/>
    </row>
    <row r="8" customFormat="false" ht="23.85" hidden="false" customHeight="true" outlineLevel="0" collapsed="false">
      <c r="J8" s="5" t="s">
        <v>8</v>
      </c>
      <c r="K8" s="5"/>
      <c r="L8" s="5"/>
      <c r="M8" s="5"/>
      <c r="O8" s="7" t="s">
        <v>9</v>
      </c>
      <c r="P8" s="7"/>
      <c r="Q8" s="8" t="n">
        <v>20</v>
      </c>
    </row>
    <row r="9" customFormat="false" ht="23.85" hidden="false" customHeight="true" outlineLevel="0" collapsed="false">
      <c r="A9" s="9" t="s">
        <v>10</v>
      </c>
      <c r="J9" s="5" t="s">
        <v>11</v>
      </c>
      <c r="K9" s="5"/>
      <c r="L9" s="5"/>
      <c r="M9" s="5"/>
      <c r="O9" s="7" t="s">
        <v>12</v>
      </c>
      <c r="P9" s="7"/>
      <c r="Q9" s="8" t="n">
        <v>1009.0909</v>
      </c>
    </row>
    <row r="10" customFormat="false" ht="23.85" hidden="false" customHeight="true" outlineLevel="0" collapsed="false">
      <c r="J10" s="5" t="s">
        <v>13</v>
      </c>
      <c r="K10" s="5"/>
      <c r="L10" s="5"/>
      <c r="M10" s="5"/>
      <c r="O10" s="7" t="s">
        <v>12</v>
      </c>
      <c r="P10" s="7"/>
      <c r="Q10" s="8" t="n">
        <v>180.9091</v>
      </c>
    </row>
    <row r="11" customFormat="false" ht="15" hidden="false" customHeight="false" outlineLevel="0" collapsed="false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  <c r="G11" s="1" t="s">
        <v>20</v>
      </c>
      <c r="O11" s="7" t="s">
        <v>12</v>
      </c>
      <c r="P11" s="7"/>
      <c r="Q11" s="8" t="n">
        <v>20</v>
      </c>
    </row>
    <row r="12" customFormat="false" ht="15" hidden="false" customHeight="false" outlineLevel="0" collapsed="false">
      <c r="A12" s="10" t="s">
        <v>21</v>
      </c>
      <c r="B12" s="10" t="s">
        <v>22</v>
      </c>
      <c r="C12" s="10" t="n">
        <v>0</v>
      </c>
      <c r="D12" s="10" t="s">
        <v>23</v>
      </c>
      <c r="E12" s="10" t="n">
        <v>0</v>
      </c>
      <c r="F12" s="10" t="n">
        <v>0</v>
      </c>
      <c r="G12" s="10" t="n">
        <v>0</v>
      </c>
    </row>
    <row r="13" customFormat="false" ht="15" hidden="false" customHeight="false" outlineLevel="0" collapsed="false">
      <c r="A13" s="10" t="s">
        <v>24</v>
      </c>
      <c r="B13" s="10" t="s">
        <v>25</v>
      </c>
      <c r="C13" s="10" t="n">
        <v>100</v>
      </c>
      <c r="D13" s="10" t="n">
        <v>10</v>
      </c>
      <c r="E13" s="10" t="n">
        <v>1000</v>
      </c>
      <c r="F13" s="10" t="n">
        <v>100</v>
      </c>
      <c r="G13" s="10" t="n">
        <v>1000</v>
      </c>
    </row>
    <row r="14" customFormat="false" ht="15" hidden="false" customHeight="false" outlineLevel="0" collapsed="false">
      <c r="A14" s="10" t="s">
        <v>26</v>
      </c>
      <c r="B14" s="10" t="s">
        <v>25</v>
      </c>
      <c r="C14" s="10" t="n">
        <v>10</v>
      </c>
      <c r="D14" s="10" t="n">
        <v>11</v>
      </c>
      <c r="E14" s="10" t="n">
        <v>110</v>
      </c>
      <c r="F14" s="10" t="n">
        <v>110</v>
      </c>
      <c r="G14" s="10" t="n">
        <v>1110</v>
      </c>
    </row>
    <row r="15" customFormat="false" ht="15" hidden="false" customHeight="false" outlineLevel="0" collapsed="false">
      <c r="A15" s="9" t="s">
        <v>27</v>
      </c>
      <c r="B15" s="9" t="s">
        <v>28</v>
      </c>
      <c r="C15" s="9" t="n">
        <v>-100</v>
      </c>
      <c r="D15" s="9" t="s">
        <v>29</v>
      </c>
      <c r="E15" s="9" t="s">
        <v>29</v>
      </c>
      <c r="F15" s="9" t="n">
        <v>10</v>
      </c>
      <c r="G15" s="9" t="s">
        <v>29</v>
      </c>
    </row>
    <row r="16" customFormat="false" ht="15" hidden="false" customHeight="false" outlineLevel="0" collapsed="false">
      <c r="A16" s="10" t="s">
        <v>30</v>
      </c>
      <c r="B16" s="10" t="s">
        <v>25</v>
      </c>
      <c r="C16" s="10" t="n">
        <v>10</v>
      </c>
      <c r="D16" s="10" t="n">
        <v>8</v>
      </c>
      <c r="E16" s="10" t="n">
        <v>80</v>
      </c>
      <c r="F16" s="10" t="n">
        <v>20</v>
      </c>
      <c r="G16" s="10" t="s">
        <v>29</v>
      </c>
    </row>
    <row r="19" customFormat="false" ht="15" hidden="false" customHeight="false" outlineLevel="0" collapsed="false">
      <c r="A19" s="11" t="s">
        <v>31</v>
      </c>
    </row>
    <row r="20" customFormat="false" ht="15" hidden="false" customHeight="false" outlineLevel="0" collapsed="false">
      <c r="A20" s="9" t="s">
        <v>32</v>
      </c>
    </row>
    <row r="21" customFormat="false" ht="15" hidden="false" customHeight="false" outlineLevel="0" collapsed="false">
      <c r="A21" s="9" t="s">
        <v>33</v>
      </c>
    </row>
    <row r="22" customFormat="false" ht="15" hidden="false" customHeight="false" outlineLevel="0" collapsed="false">
      <c r="A22" s="9" t="s">
        <v>34</v>
      </c>
      <c r="B22" s="12" t="n">
        <v>1000</v>
      </c>
      <c r="C22" s="9" t="s">
        <v>35</v>
      </c>
      <c r="D22" s="12" t="n">
        <f aca="false">B22/100</f>
        <v>10</v>
      </c>
    </row>
    <row r="25" customFormat="false" ht="15" hidden="false" customHeight="false" outlineLevel="0" collapsed="false">
      <c r="A25" s="11" t="s">
        <v>36</v>
      </c>
    </row>
    <row r="26" customFormat="false" ht="15" hidden="false" customHeight="false" outlineLevel="0" collapsed="false">
      <c r="A26" s="9" t="s">
        <v>32</v>
      </c>
    </row>
    <row r="27" customFormat="false" ht="15" hidden="false" customHeight="false" outlineLevel="0" collapsed="false">
      <c r="A27" s="9" t="s">
        <v>37</v>
      </c>
    </row>
    <row r="28" customFormat="false" ht="15" hidden="false" customHeight="false" outlineLevel="0" collapsed="false">
      <c r="A28" s="9" t="s">
        <v>38</v>
      </c>
    </row>
    <row r="29" customFormat="false" ht="15" hidden="false" customHeight="false" outlineLevel="0" collapsed="false">
      <c r="A29" s="9" t="s">
        <v>39</v>
      </c>
      <c r="B29" s="12" t="n">
        <f aca="false">110+900</f>
        <v>1010</v>
      </c>
      <c r="C29" s="9" t="s">
        <v>35</v>
      </c>
      <c r="D29" s="12" t="n">
        <f aca="false">B29/100</f>
        <v>10.1</v>
      </c>
    </row>
    <row r="32" customFormat="false" ht="15" hidden="false" customHeight="false" outlineLevel="0" collapsed="false">
      <c r="A32" s="11" t="s">
        <v>40</v>
      </c>
    </row>
    <row r="33" customFormat="false" ht="15" hidden="false" customHeight="false" outlineLevel="0" collapsed="false">
      <c r="A33" s="9" t="s">
        <v>41</v>
      </c>
    </row>
    <row r="34" customFormat="false" ht="15" hidden="false" customHeight="false" outlineLevel="0" collapsed="false">
      <c r="A34" s="9" t="s">
        <v>42</v>
      </c>
    </row>
    <row r="35" customFormat="false" ht="15" hidden="false" customHeight="false" outlineLevel="0" collapsed="false">
      <c r="A35" s="9" t="s">
        <v>43</v>
      </c>
      <c r="B35" s="12" t="n">
        <f aca="false">1110/110</f>
        <v>10.0909090909091</v>
      </c>
    </row>
    <row r="36" customFormat="false" ht="15" hidden="false" customHeight="false" outlineLevel="0" collapsed="false">
      <c r="A36" s="9" t="s">
        <v>44</v>
      </c>
      <c r="B36" s="12" t="n">
        <f aca="false">B35*100</f>
        <v>1009.09090909091</v>
      </c>
    </row>
    <row r="39" customFormat="false" ht="15" hidden="false" customHeight="false" outlineLevel="0" collapsed="false">
      <c r="A39" s="11" t="s">
        <v>45</v>
      </c>
      <c r="C39" s="13" t="s">
        <v>46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</row>
    <row r="40" customFormat="false" ht="15" hidden="false" customHeight="false" outlineLevel="0" collapsed="false">
      <c r="A40" s="1" t="s">
        <v>47</v>
      </c>
      <c r="B40" s="1" t="s">
        <v>48</v>
      </c>
      <c r="C40" s="1" t="s">
        <v>49</v>
      </c>
      <c r="D40" s="1" t="s">
        <v>50</v>
      </c>
    </row>
    <row r="41" customFormat="false" ht="15" hidden="false" customHeight="false" outlineLevel="0" collapsed="false">
      <c r="A41" s="12" t="s">
        <v>61</v>
      </c>
      <c r="B41" s="12" t="n">
        <f aca="false">B22</f>
        <v>1000</v>
      </c>
      <c r="C41" s="12" t="n">
        <f aca="false">1110-B22+80</f>
        <v>190</v>
      </c>
      <c r="D41" s="12" t="n">
        <v>20</v>
      </c>
    </row>
    <row r="42" customFormat="false" ht="15" hidden="false" customHeight="false" outlineLevel="0" collapsed="false">
      <c r="A42" s="12" t="s">
        <v>9</v>
      </c>
      <c r="B42" s="12" t="n">
        <f aca="false">B29</f>
        <v>1010</v>
      </c>
      <c r="C42" s="12" t="n">
        <f aca="false">1110-B29+80</f>
        <v>180</v>
      </c>
      <c r="D42" s="12" t="n">
        <v>20</v>
      </c>
    </row>
    <row r="43" customFormat="false" ht="15" hidden="false" customHeight="false" outlineLevel="0" collapsed="false">
      <c r="A43" s="12" t="s">
        <v>12</v>
      </c>
      <c r="B43" s="12" t="n">
        <f aca="false">B36</f>
        <v>1009.09090909091</v>
      </c>
      <c r="C43" s="12" t="n">
        <f aca="false">1110-B36+80</f>
        <v>180.909090909091</v>
      </c>
      <c r="D43" s="12" t="n">
        <v>20</v>
      </c>
    </row>
    <row r="46" customFormat="false" ht="15" hidden="false" customHeight="false" outlineLevel="0" collapsed="false">
      <c r="A46" s="11" t="s">
        <v>51</v>
      </c>
      <c r="C46" s="13" t="s">
        <v>52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</row>
    <row r="48" customFormat="false" ht="15" hidden="false" customHeight="false" outlineLevel="0" collapsed="false">
      <c r="A48" s="14" t="s">
        <v>53</v>
      </c>
      <c r="B48" s="14"/>
      <c r="C48" s="14"/>
      <c r="D48" s="14"/>
      <c r="E48" s="14"/>
      <c r="F48" s="11" t="s">
        <v>54</v>
      </c>
    </row>
    <row r="49" customFormat="false" ht="15" hidden="false" customHeight="false" outlineLevel="0" collapsed="false">
      <c r="A49" s="14" t="s">
        <v>55</v>
      </c>
      <c r="B49" s="14"/>
      <c r="C49" s="14"/>
      <c r="D49" s="14"/>
      <c r="E49" s="14"/>
      <c r="F49" s="11" t="s">
        <v>54</v>
      </c>
    </row>
    <row r="50" customFormat="false" ht="15" hidden="false" customHeight="false" outlineLevel="0" collapsed="false">
      <c r="A50" s="14" t="s">
        <v>56</v>
      </c>
      <c r="B50" s="14"/>
      <c r="C50" s="14"/>
      <c r="D50" s="14"/>
      <c r="E50" s="14"/>
      <c r="F50" s="11" t="s">
        <v>54</v>
      </c>
    </row>
    <row r="51" customFormat="false" ht="15" hidden="false" customHeight="false" outlineLevel="0" collapsed="false">
      <c r="A51" s="14" t="s">
        <v>57</v>
      </c>
      <c r="B51" s="14"/>
      <c r="C51" s="14"/>
      <c r="D51" s="14"/>
      <c r="E51" s="14"/>
      <c r="F51" s="11" t="s">
        <v>54</v>
      </c>
    </row>
    <row r="52" customFormat="false" ht="15" hidden="false" customHeight="false" outlineLevel="0" collapsed="false">
      <c r="A52" s="14" t="s">
        <v>58</v>
      </c>
      <c r="B52" s="14"/>
      <c r="C52" s="14"/>
      <c r="D52" s="14"/>
      <c r="E52" s="14"/>
      <c r="F52" s="11" t="s">
        <v>54</v>
      </c>
    </row>
  </sheetData>
  <mergeCells count="23">
    <mergeCell ref="A1:M1"/>
    <mergeCell ref="A2:M2"/>
    <mergeCell ref="A3:M3"/>
    <mergeCell ref="A4:M4"/>
    <mergeCell ref="A6:H6"/>
    <mergeCell ref="J6:M6"/>
    <mergeCell ref="O6:Q6"/>
    <mergeCell ref="J7:M7"/>
    <mergeCell ref="O7:Q7"/>
    <mergeCell ref="J8:M8"/>
    <mergeCell ref="O8:P8"/>
    <mergeCell ref="J9:M9"/>
    <mergeCell ref="O9:P9"/>
    <mergeCell ref="J10:M10"/>
    <mergeCell ref="O10:P10"/>
    <mergeCell ref="O11:P11"/>
    <mergeCell ref="C39:M39"/>
    <mergeCell ref="C46:M46"/>
    <mergeCell ref="A48:E48"/>
    <mergeCell ref="A49:E49"/>
    <mergeCell ref="A50:E50"/>
    <mergeCell ref="A51:E51"/>
    <mergeCell ref="A52:E52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2026-07-08T19:17:39Z</dcterms:created>
  <dc:creator>openpyxl</dc:creator>
  <dc:description/>
  <dc:language>en-US</dc:language>
  <cp:lastModifiedBy/>
  <dcterms:modified xsi:type="dcterms:W3CDTF">2026-07-08T19:17:39Z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