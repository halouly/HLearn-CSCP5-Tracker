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4 - EOQ Analysi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<sst xmlns="http://schemas.openxmlformats.org/spreadsheetml/2006/main" count="134" uniqueCount="58">
  <si>
    <t xml:space="preserve">CASE 4: EOQ WITH CONSTRAINTS &amp; SENSITIVITY ANALYSIS</t>
  </si>
  <si>
    <t xml:space="preserve">Calculation Worksheet</t>
  </si>
  <si>
    <t xml:space="preserve">SCENARIO: Evaluate EOQ under multiple constraints and analyze sensitivity to parameter changes.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</si>
  <si>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</si>
  <si>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</si>
  <si>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</si>
  <si>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Find the order quantity that minimizes total inventory cost.</t>
  </si>
  <si>
    <t xml:space="preserve">Self-check targets.</t>
  </si>
  <si>
    <t xml:space="preserve">Your task: Compute EOQ, total cost, and test it under quantity/truck constraints and a sensitivity case.</t>
  </si>
  <si>
    <t xml:space="preserve">Total Inventory Cost =</t>
  </si>
  <si>
    <t xml:space="preserve">Approach: EOQ = √(2DS/H); at EOQ, ordering cost = holding cost.</t>
  </si>
  <si>
    <t xml:space="preserve">BASE PARAMETERS</t>
  </si>
  <si>
    <t xml:space="preserve">Given values (blue) — do not change.</t>
  </si>
  <si>
    <t xml:space="preserve">Annual Demand (D)</t>
  </si>
  <si>
    <t xml:space="preserve">units</t>
  </si>
  <si>
    <t xml:space="preserve">Ordering Cost (S)</t>
  </si>
  <si>
    <t xml:space="preserve">$ per order</t>
  </si>
  <si>
    <t xml:space="preserve">Holding Cost Rate</t>
  </si>
  <si>
    <t xml:space="preserve">% of unit cost</t>
  </si>
  <si>
    <t xml:space="preserve">Unit Cost (C)</t>
  </si>
  <si>
    <t xml:space="preserve">$ per unit</t>
  </si>
  <si>
    <t xml:space="preserve">Holding Cost (H)</t>
  </si>
  <si>
    <t xml:space="preserve">$ per unit/year</t>
  </si>
  <si>
    <t xml:space="preserve">Working Days/Year</t>
  </si>
  <si>
    <t xml:space="preserve">days</t>
  </si>
  <si>
    <t xml:space="preserve">Lead Time</t>
  </si>
  <si>
    <t xml:space="preserve">Daily Demand</t>
  </si>
  <si>
    <t xml:space="preserve">EOQ CALCULATION</t>
  </si>
  <si>
    <t xml:space="preserve">Work each green cell using the formula shown.</t>
  </si>
  <si>
    <t xml:space="preserve">EOQ Formula: √(2DS/H)</t>
  </si>
  <si>
    <t xml:space="preserve">EOQ =</t>
  </si>
  <si>
    <t xml:space="preserve">Orders per Year =</t>
  </si>
  <si>
    <t xml:space="preserve">Reorder Point =</t>
  </si>
  <si>
    <t xml:space="preserve">TOTAL COST ANALYSIS</t>
  </si>
  <si>
    <t xml:space="preserve">Evaluate each row; fill the green cells.</t>
  </si>
  <si>
    <t xml:space="preserve">Annual Ordering Cost =</t>
  </si>
  <si>
    <t xml:space="preserve">Annual Holding Cost =</t>
  </si>
  <si>
    <t xml:space="preserve">CONSTRAINT ANALYSIS</t>
  </si>
  <si>
    <t xml:space="preserve">Constraint 1: Supplier minimum order = 400 units</t>
  </si>
  <si>
    <t xml:space="preserve">Constraint 2: Warehouse max capacity = 600 units</t>
  </si>
  <si>
    <t xml:space="preserve">Constraint 3: Truck capacity = 500 units (full truck discount 5%)</t>
  </si>
  <si>
    <t xml:space="preserve">Feasible Order Quantities:</t>
  </si>
  <si>
    <t xml:space="preserve">Order Qty</t>
  </si>
  <si>
    <t xml:space="preserve">Ordering Cost</t>
  </si>
  <si>
    <t xml:space="preserve">Holding Cost</t>
  </si>
  <si>
    <t xml:space="preserve">Total Cost</t>
  </si>
  <si>
    <t xml:space="preserve">Feasible?</t>
  </si>
  <si>
    <t xml:space="preserve">EXAM-STYLE QUESTIONS:</t>
  </si>
  <si>
    <t xml:space="preserve">Answer using the results you computed above.</t>
  </si>
  <si>
    <t xml:space="preserve">Q1: What is the calculated EOQ (before constraints)?</t>
  </si>
  <si>
    <t xml:space="preserve">Answer:</t>
  </si>
  <si>
    <t xml:space="preserve">Q2: Given all three constraints, what is the OPTIMAL order quantity?</t>
  </si>
  <si>
    <t xml:space="preserve">Q3: If ordering cost doubles to $300, what happens to EOQ? (increases/decreases by what %)</t>
  </si>
  <si>
    <t xml:space="preserve">Q4: If holding cost rate increases to 30%, what is the new EOQ?</t>
  </si>
  <si>
    <t xml:space="preserve">Q5: At EOQ, annual ordering cost should equal annual holding cost. Verify this.</t>
  </si>
  <si>
    <t xml:space="preserve">Q6: What is the time between orders (TBO) in days at EOQ?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</si>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</sst>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9" min="9" style="0" width="20"/>
    <col collapsed="false" customWidth="true" hidden="false" outlineLevel="0" max="14" min="14" style="0" width="2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I6" s="1" t="s">
        <v>4</v>
      </c>
      <c r="J6" s="1"/>
      <c r="K6" s="1"/>
      <c r="L6" s="1"/>
      <c r="N6" s="1" t="s">
        <v>5</v>
      </c>
      <c r="O6" s="1"/>
      <c r="P6" s="1"/>
    </row>
    <row r="7" customFormat="false" ht="23.85" hidden="false" customHeight="true" outlineLevel="0" collapsed="false">
      <c r="I7" s="5" t="s">
        <v>6</v>
      </c>
      <c r="J7" s="5"/>
      <c r="K7" s="5"/>
      <c r="L7" s="5"/>
      <c r="N7" s="6" t="s">
        <v>7</v>
      </c>
      <c r="O7" s="6"/>
      <c r="P7" s="6"/>
    </row>
    <row r="8" customFormat="false" ht="23.85" hidden="false" customHeight="true" outlineLevel="0" collapsed="false">
      <c r="I8" s="5" t="s">
        <v>8</v>
      </c>
      <c r="J8" s="5"/>
      <c r="K8" s="5"/>
      <c r="L8" s="5"/>
      <c r="N8" s="7" t="s">
        <v>9</v>
      </c>
      <c r="O8" s="7"/>
      <c r="P8" s="8" t="n">
        <v>6708.2039</v>
      </c>
    </row>
    <row r="9" customFormat="false" ht="23.85" hidden="false" customHeight="true" outlineLevel="0" collapsed="false">
      <c r="I9" s="5" t="s">
        <v>10</v>
      </c>
      <c r="J9" s="5"/>
      <c r="K9" s="5"/>
      <c r="L9" s="5"/>
    </row>
    <row r="10" customFormat="false" ht="15" hidden="false" customHeight="false" outlineLevel="0" collapsed="false">
      <c r="A10" s="9" t="s">
        <v>11</v>
      </c>
      <c r="C10" s="10" t="s">
        <v>12</v>
      </c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5" hidden="false" customHeight="false" outlineLevel="0" collapsed="false">
      <c r="A11" s="9" t="s">
        <v>13</v>
      </c>
      <c r="B11" s="11" t="n">
        <v>12000</v>
      </c>
      <c r="C11" s="12" t="s">
        <v>14</v>
      </c>
    </row>
    <row r="12" customFormat="false" ht="15" hidden="false" customHeight="false" outlineLevel="0" collapsed="false">
      <c r="A12" s="9" t="s">
        <v>15</v>
      </c>
      <c r="B12" s="11" t="n">
        <v>150</v>
      </c>
      <c r="C12" s="12" t="s">
        <v>16</v>
      </c>
    </row>
    <row r="13" customFormat="false" ht="15" hidden="false" customHeight="false" outlineLevel="0" collapsed="false">
      <c r="A13" s="9" t="s">
        <v>17</v>
      </c>
      <c r="B13" s="11" t="n">
        <v>0.25</v>
      </c>
      <c r="C13" s="12" t="s">
        <v>18</v>
      </c>
    </row>
    <row r="14" customFormat="false" ht="15" hidden="false" customHeight="false" outlineLevel="0" collapsed="false">
      <c r="A14" s="9" t="s">
        <v>19</v>
      </c>
      <c r="B14" s="11" t="n">
        <v>50</v>
      </c>
      <c r="C14" s="12" t="s">
        <v>20</v>
      </c>
    </row>
    <row r="15" customFormat="false" ht="15" hidden="false" customHeight="false" outlineLevel="0" collapsed="false">
      <c r="A15" s="9" t="s">
        <v>21</v>
      </c>
      <c r="B15" s="13"/>
      <c r="C15" s="12" t="s">
        <v>22</v>
      </c>
    </row>
    <row r="16" customFormat="false" ht="15" hidden="false" customHeight="false" outlineLevel="0" collapsed="false">
      <c r="A16" s="9" t="s">
        <v>23</v>
      </c>
      <c r="B16" s="11" t="n">
        <v>250</v>
      </c>
      <c r="C16" s="12" t="s">
        <v>24</v>
      </c>
    </row>
    <row r="17" customFormat="false" ht="15" hidden="false" customHeight="false" outlineLevel="0" collapsed="false">
      <c r="A17" s="9" t="s">
        <v>25</v>
      </c>
      <c r="B17" s="11" t="n">
        <v>10</v>
      </c>
      <c r="C17" s="12" t="s">
        <v>24</v>
      </c>
    </row>
    <row r="18" customFormat="false" ht="15" hidden="false" customHeight="false" outlineLevel="0" collapsed="false">
      <c r="A18" s="9" t="s">
        <v>26</v>
      </c>
      <c r="B18" s="13"/>
      <c r="C18" s="12" t="s">
        <v>14</v>
      </c>
    </row>
    <row r="21" customFormat="false" ht="15" hidden="false" customHeight="false" outlineLevel="0" collapsed="false">
      <c r="A21" s="9" t="s">
        <v>27</v>
      </c>
      <c r="C21" s="10" t="s">
        <v>28</v>
      </c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5" hidden="false" customHeight="false" outlineLevel="0" collapsed="false">
      <c r="A22" s="12" t="s">
        <v>29</v>
      </c>
    </row>
    <row r="23" customFormat="false" ht="15" hidden="false" customHeight="false" outlineLevel="0" collapsed="false">
      <c r="A23" s="12" t="s">
        <v>30</v>
      </c>
      <c r="B23" s="13"/>
      <c r="C23" s="12" t="s">
        <v>14</v>
      </c>
    </row>
    <row r="24" customFormat="false" ht="15" hidden="false" customHeight="false" outlineLevel="0" collapsed="false">
      <c r="A24" s="12" t="s">
        <v>31</v>
      </c>
      <c r="B24" s="13"/>
    </row>
    <row r="25" customFormat="false" ht="15" hidden="false" customHeight="false" outlineLevel="0" collapsed="false">
      <c r="A25" s="12" t="s">
        <v>32</v>
      </c>
      <c r="B25" s="13"/>
      <c r="C25" s="12" t="s">
        <v>14</v>
      </c>
    </row>
    <row r="28" customFormat="false" ht="15" hidden="false" customHeight="false" outlineLevel="0" collapsed="false">
      <c r="A28" s="9" t="s">
        <v>33</v>
      </c>
      <c r="C28" s="10" t="s">
        <v>34</v>
      </c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false" outlineLevel="0" collapsed="false">
      <c r="A29" s="12" t="s">
        <v>35</v>
      </c>
      <c r="B29" s="13"/>
    </row>
    <row r="30" customFormat="false" ht="15" hidden="false" customHeight="false" outlineLevel="0" collapsed="false">
      <c r="A30" s="12" t="s">
        <v>36</v>
      </c>
      <c r="B30" s="13"/>
    </row>
    <row r="31" customFormat="false" ht="15" hidden="false" customHeight="false" outlineLevel="0" collapsed="false">
      <c r="A31" s="12" t="s">
        <v>9</v>
      </c>
      <c r="B31" s="14"/>
    </row>
    <row r="34" customFormat="false" ht="15" hidden="false" customHeight="false" outlineLevel="0" collapsed="false">
      <c r="A34" s="9" t="s">
        <v>37</v>
      </c>
      <c r="C34" s="10" t="s">
        <v>34</v>
      </c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false" outlineLevel="0" collapsed="false">
      <c r="A35" s="12" t="s">
        <v>38</v>
      </c>
    </row>
    <row r="36" customFormat="false" ht="15" hidden="false" customHeight="false" outlineLevel="0" collapsed="false">
      <c r="A36" s="12" t="s">
        <v>39</v>
      </c>
    </row>
    <row r="37" customFormat="false" ht="15" hidden="false" customHeight="false" outlineLevel="0" collapsed="false">
      <c r="A37" s="12" t="s">
        <v>40</v>
      </c>
    </row>
    <row r="39" customFormat="false" ht="15" hidden="false" customHeight="false" outlineLevel="0" collapsed="false">
      <c r="A39" s="12" t="s">
        <v>41</v>
      </c>
    </row>
    <row r="40" customFormat="false" ht="15" hidden="false" customHeight="false" outlineLevel="0" collapsed="false">
      <c r="A40" s="1" t="s">
        <v>42</v>
      </c>
      <c r="B40" s="1" t="s">
        <v>43</v>
      </c>
      <c r="C40" s="1" t="s">
        <v>44</v>
      </c>
      <c r="D40" s="1" t="s">
        <v>45</v>
      </c>
      <c r="E40" s="1" t="s">
        <v>46</v>
      </c>
    </row>
    <row r="41" customFormat="false" ht="15" hidden="false" customHeight="false" outlineLevel="0" collapsed="false">
      <c r="A41" s="11" t="n">
        <v>380</v>
      </c>
      <c r="B41" s="13"/>
      <c r="C41" s="13"/>
      <c r="D41" s="13"/>
    </row>
    <row r="42" customFormat="false" ht="15" hidden="false" customHeight="false" outlineLevel="0" collapsed="false">
      <c r="A42" s="11" t="n">
        <v>400</v>
      </c>
      <c r="B42" s="13"/>
      <c r="C42" s="13"/>
      <c r="D42" s="13"/>
    </row>
    <row r="43" customFormat="false" ht="15" hidden="false" customHeight="false" outlineLevel="0" collapsed="false">
      <c r="A43" s="11" t="n">
        <v>500</v>
      </c>
      <c r="B43" s="13"/>
      <c r="C43" s="13"/>
      <c r="D43" s="13"/>
    </row>
    <row r="44" customFormat="false" ht="15" hidden="false" customHeight="false" outlineLevel="0" collapsed="false">
      <c r="A44" s="11" t="n">
        <v>600</v>
      </c>
      <c r="B44" s="13"/>
      <c r="C44" s="13"/>
      <c r="D44" s="13"/>
    </row>
    <row r="45" customFormat="false" ht="15" hidden="false" customHeight="false" outlineLevel="0" collapsed="false">
      <c r="A45" s="11" t="n">
        <v>620</v>
      </c>
      <c r="B45" s="13"/>
      <c r="C45" s="13"/>
      <c r="D45" s="13"/>
    </row>
    <row r="48" customFormat="false" ht="15" hidden="false" customHeight="false" outlineLevel="0" collapsed="false">
      <c r="A48" s="9" t="s">
        <v>47</v>
      </c>
      <c r="C48" s="10" t="s">
        <v>48</v>
      </c>
      <c r="D48" s="10"/>
      <c r="E48" s="10"/>
      <c r="F48" s="10"/>
      <c r="G48" s="10"/>
      <c r="H48" s="10"/>
      <c r="I48" s="10"/>
      <c r="J48" s="10"/>
      <c r="K48" s="10"/>
      <c r="L48" s="10"/>
    </row>
    <row r="50" customFormat="false" ht="15" hidden="false" customHeight="false" outlineLevel="0" collapsed="false">
      <c r="A50" s="15" t="s">
        <v>49</v>
      </c>
      <c r="B50" s="15"/>
      <c r="C50" s="15"/>
      <c r="D50" s="15"/>
      <c r="E50" s="9" t="s">
        <v>50</v>
      </c>
    </row>
    <row r="51" customFormat="false" ht="15" hidden="false" customHeight="false" outlineLevel="0" collapsed="false">
      <c r="A51" s="15" t="s">
        <v>51</v>
      </c>
      <c r="B51" s="15"/>
      <c r="C51" s="15"/>
      <c r="D51" s="15"/>
      <c r="E51" s="9" t="s">
        <v>50</v>
      </c>
    </row>
    <row r="52" customFormat="false" ht="15" hidden="false" customHeight="false" outlineLevel="0" collapsed="false">
      <c r="A52" s="15" t="s">
        <v>52</v>
      </c>
      <c r="B52" s="15"/>
      <c r="C52" s="15"/>
      <c r="D52" s="15"/>
      <c r="E52" s="9" t="s">
        <v>50</v>
      </c>
    </row>
    <row r="53" customFormat="false" ht="15" hidden="false" customHeight="false" outlineLevel="0" collapsed="false">
      <c r="A53" s="15" t="s">
        <v>53</v>
      </c>
      <c r="B53" s="15"/>
      <c r="C53" s="15"/>
      <c r="D53" s="15"/>
      <c r="E53" s="9" t="s">
        <v>50</v>
      </c>
    </row>
    <row r="54" customFormat="false" ht="15" hidden="false" customHeight="false" outlineLevel="0" collapsed="false">
      <c r="A54" s="15" t="s">
        <v>54</v>
      </c>
      <c r="B54" s="15"/>
      <c r="C54" s="15"/>
      <c r="D54" s="15"/>
      <c r="E54" s="9" t="s">
        <v>50</v>
      </c>
    </row>
    <row r="55" customFormat="false" ht="15" hidden="false" customHeight="false" outlineLevel="0" collapsed="false">
      <c r="A55" s="15" t="s">
        <v>55</v>
      </c>
      <c r="B55" s="15"/>
      <c r="C55" s="15"/>
      <c r="D55" s="15"/>
      <c r="E55" s="9" t="s">
        <v>50</v>
      </c>
    </row>
  </sheetData>
  <mergeCells count="23">
    <mergeCell ref="A1:L1"/>
    <mergeCell ref="A2:L2"/>
    <mergeCell ref="A3:L3"/>
    <mergeCell ref="A4:L4"/>
    <mergeCell ref="A6:G6"/>
    <mergeCell ref="I6:L6"/>
    <mergeCell ref="N6:P6"/>
    <mergeCell ref="I7:L7"/>
    <mergeCell ref="N7:P7"/>
    <mergeCell ref="I8:L8"/>
    <mergeCell ref="N8:O8"/>
    <mergeCell ref="I9:L9"/>
    <mergeCell ref="C10:L10"/>
    <mergeCell ref="C21:L21"/>
    <mergeCell ref="C28:L28"/>
    <mergeCell ref="C34:L34"/>
    <mergeCell ref="C48:L48"/>
    <mergeCell ref="A50:D50"/>
    <mergeCell ref="A51:D51"/>
    <mergeCell ref="A52:D52"/>
    <mergeCell ref="A53:D53"/>
    <mergeCell ref="A54:D54"/>
    <mergeCell ref="A55:D5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9" min="9" style="0" width="20"/>
    <col collapsed="false" customWidth="true" hidden="false" outlineLevel="0" max="14" min="14" style="0" width="2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57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I6" s="1" t="s">
        <v>4</v>
      </c>
      <c r="J6" s="1"/>
      <c r="K6" s="1"/>
      <c r="L6" s="1"/>
      <c r="N6" s="1" t="s">
        <v>5</v>
      </c>
      <c r="O6" s="1"/>
      <c r="P6" s="1"/>
    </row>
    <row r="7" customFormat="false" ht="23.85" hidden="false" customHeight="true" outlineLevel="0" collapsed="false">
      <c r="I7" s="5" t="s">
        <v>6</v>
      </c>
      <c r="J7" s="5"/>
      <c r="K7" s="5"/>
      <c r="L7" s="5"/>
      <c r="N7" s="6" t="s">
        <v>7</v>
      </c>
      <c r="O7" s="6"/>
      <c r="P7" s="6"/>
    </row>
    <row r="8" customFormat="false" ht="23.85" hidden="false" customHeight="true" outlineLevel="0" collapsed="false">
      <c r="I8" s="5" t="s">
        <v>8</v>
      </c>
      <c r="J8" s="5"/>
      <c r="K8" s="5"/>
      <c r="L8" s="5"/>
      <c r="N8" s="7" t="s">
        <v>9</v>
      </c>
      <c r="O8" s="7"/>
      <c r="P8" s="8" t="n">
        <v>6708.2039</v>
      </c>
    </row>
    <row r="9" customFormat="false" ht="23.85" hidden="false" customHeight="true" outlineLevel="0" collapsed="false">
      <c r="I9" s="5" t="s">
        <v>10</v>
      </c>
      <c r="J9" s="5"/>
      <c r="K9" s="5"/>
      <c r="L9" s="5"/>
    </row>
    <row r="10" customFormat="false" ht="15" hidden="false" customHeight="false" outlineLevel="0" collapsed="false">
      <c r="A10" s="9" t="s">
        <v>11</v>
      </c>
      <c r="C10" s="10" t="s">
        <v>12</v>
      </c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5" hidden="false" customHeight="false" outlineLevel="0" collapsed="false">
      <c r="A11" s="9" t="s">
        <v>13</v>
      </c>
      <c r="B11" s="11" t="n">
        <v>12000</v>
      </c>
      <c r="C11" s="12" t="s">
        <v>14</v>
      </c>
    </row>
    <row r="12" customFormat="false" ht="15" hidden="false" customHeight="false" outlineLevel="0" collapsed="false">
      <c r="A12" s="9" t="s">
        <v>15</v>
      </c>
      <c r="B12" s="11" t="n">
        <v>150</v>
      </c>
      <c r="C12" s="12" t="s">
        <v>16</v>
      </c>
    </row>
    <row r="13" customFormat="false" ht="15" hidden="false" customHeight="false" outlineLevel="0" collapsed="false">
      <c r="A13" s="9" t="s">
        <v>17</v>
      </c>
      <c r="B13" s="11" t="n">
        <v>0.25</v>
      </c>
      <c r="C13" s="12" t="s">
        <v>18</v>
      </c>
    </row>
    <row r="14" customFormat="false" ht="15" hidden="false" customHeight="false" outlineLevel="0" collapsed="false">
      <c r="A14" s="9" t="s">
        <v>19</v>
      </c>
      <c r="B14" s="11" t="n">
        <v>50</v>
      </c>
      <c r="C14" s="12" t="s">
        <v>20</v>
      </c>
    </row>
    <row r="15" customFormat="false" ht="15" hidden="false" customHeight="false" outlineLevel="0" collapsed="false">
      <c r="A15" s="9" t="s">
        <v>21</v>
      </c>
      <c r="B15" s="13" t="n">
        <f aca="false">B13*B14</f>
        <v>12.5</v>
      </c>
      <c r="C15" s="12" t="s">
        <v>22</v>
      </c>
    </row>
    <row r="16" customFormat="false" ht="15" hidden="false" customHeight="false" outlineLevel="0" collapsed="false">
      <c r="A16" s="9" t="s">
        <v>23</v>
      </c>
      <c r="B16" s="11" t="n">
        <v>250</v>
      </c>
      <c r="C16" s="12" t="s">
        <v>24</v>
      </c>
    </row>
    <row r="17" customFormat="false" ht="15" hidden="false" customHeight="false" outlineLevel="0" collapsed="false">
      <c r="A17" s="9" t="s">
        <v>25</v>
      </c>
      <c r="B17" s="11" t="n">
        <v>10</v>
      </c>
      <c r="C17" s="12" t="s">
        <v>24</v>
      </c>
    </row>
    <row r="18" customFormat="false" ht="15" hidden="false" customHeight="false" outlineLevel="0" collapsed="false">
      <c r="A18" s="9" t="s">
        <v>26</v>
      </c>
      <c r="B18" s="13" t="n">
        <f aca="false">B11/B16</f>
        <v>48</v>
      </c>
      <c r="C18" s="12" t="s">
        <v>14</v>
      </c>
    </row>
    <row r="21" customFormat="false" ht="15" hidden="false" customHeight="false" outlineLevel="0" collapsed="false">
      <c r="A21" s="9" t="s">
        <v>27</v>
      </c>
      <c r="C21" s="10" t="s">
        <v>28</v>
      </c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5" hidden="false" customHeight="false" outlineLevel="0" collapsed="false">
      <c r="A22" s="12" t="s">
        <v>29</v>
      </c>
    </row>
    <row r="23" customFormat="false" ht="15" hidden="false" customHeight="false" outlineLevel="0" collapsed="false">
      <c r="A23" s="12" t="s">
        <v>30</v>
      </c>
      <c r="B23" s="13" t="n">
        <f aca="false">SQRT(2*B11*B12/B15)</f>
        <v>536.65631459995</v>
      </c>
      <c r="C23" s="12" t="s">
        <v>14</v>
      </c>
    </row>
    <row r="24" customFormat="false" ht="15" hidden="false" customHeight="false" outlineLevel="0" collapsed="false">
      <c r="A24" s="12" t="s">
        <v>31</v>
      </c>
      <c r="B24" s="13" t="n">
        <f aca="false">B11/B23</f>
        <v>22.3606797749979</v>
      </c>
    </row>
    <row r="25" customFormat="false" ht="15" hidden="false" customHeight="false" outlineLevel="0" collapsed="false">
      <c r="A25" s="12" t="s">
        <v>32</v>
      </c>
      <c r="B25" s="13" t="n">
        <f aca="false">B18*B17</f>
        <v>480</v>
      </c>
      <c r="C25" s="12" t="s">
        <v>14</v>
      </c>
    </row>
    <row r="28" customFormat="false" ht="15" hidden="false" customHeight="false" outlineLevel="0" collapsed="false">
      <c r="A28" s="9" t="s">
        <v>33</v>
      </c>
      <c r="C28" s="10" t="s">
        <v>34</v>
      </c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false" outlineLevel="0" collapsed="false">
      <c r="A29" s="12" t="s">
        <v>35</v>
      </c>
      <c r="B29" s="13" t="n">
        <f aca="false">(B11/B23)*B12</f>
        <v>3354.10196624968</v>
      </c>
    </row>
    <row r="30" customFormat="false" ht="15" hidden="false" customHeight="false" outlineLevel="0" collapsed="false">
      <c r="A30" s="12" t="s">
        <v>36</v>
      </c>
      <c r="B30" s="13" t="n">
        <f aca="false">(B23/2)*B15</f>
        <v>3354.10196624968</v>
      </c>
    </row>
    <row r="31" customFormat="false" ht="15" hidden="false" customHeight="false" outlineLevel="0" collapsed="false">
      <c r="A31" s="12" t="s">
        <v>9</v>
      </c>
      <c r="B31" s="14" t="n">
        <f aca="false">B29+B30</f>
        <v>6708.20393249937</v>
      </c>
    </row>
    <row r="34" customFormat="false" ht="15" hidden="false" customHeight="false" outlineLevel="0" collapsed="false">
      <c r="A34" s="9" t="s">
        <v>37</v>
      </c>
      <c r="C34" s="10" t="s">
        <v>34</v>
      </c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false" outlineLevel="0" collapsed="false">
      <c r="A35" s="12" t="s">
        <v>38</v>
      </c>
    </row>
    <row r="36" customFormat="false" ht="15" hidden="false" customHeight="false" outlineLevel="0" collapsed="false">
      <c r="A36" s="12" t="s">
        <v>39</v>
      </c>
    </row>
    <row r="37" customFormat="false" ht="15" hidden="false" customHeight="false" outlineLevel="0" collapsed="false">
      <c r="A37" s="12" t="s">
        <v>40</v>
      </c>
    </row>
    <row r="39" customFormat="false" ht="15" hidden="false" customHeight="false" outlineLevel="0" collapsed="false">
      <c r="A39" s="12" t="s">
        <v>41</v>
      </c>
    </row>
    <row r="40" customFormat="false" ht="15" hidden="false" customHeight="false" outlineLevel="0" collapsed="false">
      <c r="A40" s="1" t="s">
        <v>42</v>
      </c>
      <c r="B40" s="1" t="s">
        <v>43</v>
      </c>
      <c r="C40" s="1" t="s">
        <v>44</v>
      </c>
      <c r="D40" s="1" t="s">
        <v>45</v>
      </c>
      <c r="E40" s="1" t="s">
        <v>46</v>
      </c>
    </row>
    <row r="41" customFormat="false" ht="15" hidden="false" customHeight="false" outlineLevel="0" collapsed="false">
      <c r="A41" s="11" t="n">
        <v>380</v>
      </c>
      <c r="B41" s="13" t="n">
        <f aca="false">(B11/380)*B12</f>
        <v>4736.84210526316</v>
      </c>
      <c r="C41" s="13" t="n">
        <f aca="false">(380/2)*B15</f>
        <v>2375</v>
      </c>
      <c r="D41" s="13" t="n">
        <f aca="false">B41+C41</f>
        <v>7111.84210526316</v>
      </c>
    </row>
    <row r="42" customFormat="false" ht="15" hidden="false" customHeight="false" outlineLevel="0" collapsed="false">
      <c r="A42" s="11" t="n">
        <v>400</v>
      </c>
      <c r="B42" s="13" t="n">
        <f aca="false">(B11/400)*B12</f>
        <v>4500</v>
      </c>
      <c r="C42" s="13" t="n">
        <f aca="false">(400/2)*B15</f>
        <v>2500</v>
      </c>
      <c r="D42" s="13" t="n">
        <f aca="false">B42+C42</f>
        <v>7000</v>
      </c>
    </row>
    <row r="43" customFormat="false" ht="15" hidden="false" customHeight="false" outlineLevel="0" collapsed="false">
      <c r="A43" s="11" t="n">
        <v>500</v>
      </c>
      <c r="B43" s="13" t="n">
        <f aca="false">(B11/500)*B12</f>
        <v>3600</v>
      </c>
      <c r="C43" s="13" t="n">
        <f aca="false">(500/2)*B15</f>
        <v>3125</v>
      </c>
      <c r="D43" s="13" t="n">
        <f aca="false">B43+C43*0.95</f>
        <v>6568.75</v>
      </c>
    </row>
    <row r="44" customFormat="false" ht="15" hidden="false" customHeight="false" outlineLevel="0" collapsed="false">
      <c r="A44" s="11" t="n">
        <v>600</v>
      </c>
      <c r="B44" s="13" t="n">
        <f aca="false">(B11/600)*B12</f>
        <v>3000</v>
      </c>
      <c r="C44" s="13" t="n">
        <f aca="false">(600/2)*B15</f>
        <v>3750</v>
      </c>
      <c r="D44" s="13" t="n">
        <f aca="false">B44+C44</f>
        <v>6750</v>
      </c>
    </row>
    <row r="45" customFormat="false" ht="15" hidden="false" customHeight="false" outlineLevel="0" collapsed="false">
      <c r="A45" s="11" t="n">
        <v>620</v>
      </c>
      <c r="B45" s="13" t="n">
        <f aca="false">(B11/620)*B12</f>
        <v>2903.22580645161</v>
      </c>
      <c r="C45" s="13" t="n">
        <f aca="false">(620/2)*B15</f>
        <v>3875</v>
      </c>
      <c r="D45" s="13" t="n">
        <f aca="false">B45+C45</f>
        <v>6778.22580645161</v>
      </c>
    </row>
    <row r="48" customFormat="false" ht="15" hidden="false" customHeight="false" outlineLevel="0" collapsed="false">
      <c r="A48" s="9" t="s">
        <v>47</v>
      </c>
      <c r="C48" s="10" t="s">
        <v>48</v>
      </c>
      <c r="D48" s="10"/>
      <c r="E48" s="10"/>
      <c r="F48" s="10"/>
      <c r="G48" s="10"/>
      <c r="H48" s="10"/>
      <c r="I48" s="10"/>
      <c r="J48" s="10"/>
      <c r="K48" s="10"/>
      <c r="L48" s="10"/>
    </row>
    <row r="50" customFormat="false" ht="15" hidden="false" customHeight="false" outlineLevel="0" collapsed="false">
      <c r="A50" s="15" t="s">
        <v>49</v>
      </c>
      <c r="B50" s="15"/>
      <c r="C50" s="15"/>
      <c r="D50" s="15"/>
      <c r="E50" s="9" t="s">
        <v>50</v>
      </c>
    </row>
    <row r="51" customFormat="false" ht="15" hidden="false" customHeight="false" outlineLevel="0" collapsed="false">
      <c r="A51" s="15" t="s">
        <v>51</v>
      </c>
      <c r="B51" s="15"/>
      <c r="C51" s="15"/>
      <c r="D51" s="15"/>
      <c r="E51" s="9" t="s">
        <v>50</v>
      </c>
    </row>
    <row r="52" customFormat="false" ht="15" hidden="false" customHeight="false" outlineLevel="0" collapsed="false">
      <c r="A52" s="15" t="s">
        <v>52</v>
      </c>
      <c r="B52" s="15"/>
      <c r="C52" s="15"/>
      <c r="D52" s="15"/>
      <c r="E52" s="9" t="s">
        <v>50</v>
      </c>
    </row>
    <row r="53" customFormat="false" ht="15" hidden="false" customHeight="false" outlineLevel="0" collapsed="false">
      <c r="A53" s="15" t="s">
        <v>53</v>
      </c>
      <c r="B53" s="15"/>
      <c r="C53" s="15"/>
      <c r="D53" s="15"/>
      <c r="E53" s="9" t="s">
        <v>50</v>
      </c>
    </row>
    <row r="54" customFormat="false" ht="15" hidden="false" customHeight="false" outlineLevel="0" collapsed="false">
      <c r="A54" s="15" t="s">
        <v>54</v>
      </c>
      <c r="B54" s="15"/>
      <c r="C54" s="15"/>
      <c r="D54" s="15"/>
      <c r="E54" s="9" t="s">
        <v>50</v>
      </c>
    </row>
    <row r="55" customFormat="false" ht="15" hidden="false" customHeight="false" outlineLevel="0" collapsed="false">
      <c r="A55" s="15" t="s">
        <v>55</v>
      </c>
      <c r="B55" s="15"/>
      <c r="C55" s="15"/>
      <c r="D55" s="15"/>
      <c r="E55" s="9" t="s">
        <v>50</v>
      </c>
    </row>
  </sheetData>
  <mergeCells count="23">
    <mergeCell ref="A1:L1"/>
    <mergeCell ref="A2:L2"/>
    <mergeCell ref="A3:L3"/>
    <mergeCell ref="A4:L4"/>
    <mergeCell ref="A6:G6"/>
    <mergeCell ref="I6:L6"/>
    <mergeCell ref="N6:P6"/>
    <mergeCell ref="I7:L7"/>
    <mergeCell ref="N7:P7"/>
    <mergeCell ref="I8:L8"/>
    <mergeCell ref="N8:O8"/>
    <mergeCell ref="I9:L9"/>
    <mergeCell ref="C10:L10"/>
    <mergeCell ref="C21:L21"/>
    <mergeCell ref="C28:L28"/>
    <mergeCell ref="C34:L34"/>
    <mergeCell ref="C48:L48"/>
    <mergeCell ref="A50:D50"/>
    <mergeCell ref="A51:D51"/>
    <mergeCell ref="A52:D52"/>
    <mergeCell ref="A53:D53"/>
    <mergeCell ref="A54:D54"/>
    <mergeCell ref="A55:D5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