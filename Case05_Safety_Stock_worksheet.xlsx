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5 - Safety Stock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<sst xmlns="http://schemas.openxmlformats.org/spreadsheetml/2006/main" count="142" uniqueCount="58">
  <si>
    <t xml:space="preserve">CASE 5: SAFETY STOCK CALCULATION WITH DEMAND &amp; LEAD TIME VARIABILITY</t>
  </si>
  <si>
    <t xml:space="preserve">Calculation Worksheet</t>
  </si>
  <si>
    <t xml:space="preserve">SCENARIO: Calculate safety stock considering both demand variability and lead time variability.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</si>
  <si>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</si>
  <si>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</si>
  <si>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</si>
  <si>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Size safety stock for a target service level.</t>
  </si>
  <si>
    <t xml:space="preserve">Self-check targets.</t>
  </si>
  <si>
    <t xml:space="preserve">Your task: Compute safety stock under demand and lead-time variability; compare service levels.</t>
  </si>
  <si>
    <t xml:space="preserve">99%</t>
  </si>
  <si>
    <t xml:space="preserve">Compare safety stock requirements at different service levels.</t>
  </si>
  <si>
    <t xml:space="preserve">Approach: SS = Z·σ·√LT; higher service level needs a higher Z and more stock.</t>
  </si>
  <si>
    <t xml:space="preserve">Time: ~25 min   •   Fill the shaded input cells, then check the ANSWER KEY sheet only after you finish.</t>
  </si>
  <si>
    <t xml:space="preserve">PARAMETERS</t>
  </si>
  <si>
    <t xml:space="preserve">Given values (blue) — do not change.</t>
  </si>
  <si>
    <t xml:space="preserve">Average Daily Demand (d̄)</t>
  </si>
  <si>
    <t xml:space="preserve">units</t>
  </si>
  <si>
    <t xml:space="preserve">Std Dev of Daily Demand (σd)</t>
  </si>
  <si>
    <t xml:space="preserve">Average Lead Time (L̄)</t>
  </si>
  <si>
    <t xml:space="preserve">days</t>
  </si>
  <si>
    <t xml:space="preserve">Std Dev of Lead Time (σL)</t>
  </si>
  <si>
    <t xml:space="preserve">Z-FACTOR REFERENCE</t>
  </si>
  <si>
    <t xml:space="preserve">Service Level</t>
  </si>
  <si>
    <t xml:space="preserve">Z-Factor</t>
  </si>
  <si>
    <t xml:space="preserve">Stockout Risk</t>
  </si>
  <si>
    <t xml:space="preserve">90%</t>
  </si>
  <si>
    <t xml:space="preserve">10%</t>
  </si>
  <si>
    <t xml:space="preserve">95%</t>
  </si>
  <si>
    <t xml:space="preserve">5%</t>
  </si>
  <si>
    <t xml:space="preserve">97.5%</t>
  </si>
  <si>
    <t xml:space="preserve">2.5%</t>
  </si>
  <si>
    <t xml:space="preserve">1%</t>
  </si>
  <si>
    <t xml:space="preserve">99.9%</t>
  </si>
  <si>
    <t xml:space="preserve">0.1%</t>
  </si>
  <si>
    <t xml:space="preserve">SAFETY STOCK FORMULAS</t>
  </si>
  <si>
    <t xml:space="preserve">Formula 1: Demand variability only</t>
  </si>
  <si>
    <t xml:space="preserve">SS = Z × σd × √L̄</t>
  </si>
  <si>
    <t xml:space="preserve">Formula 2: Lead time variability only</t>
  </si>
  <si>
    <t xml:space="preserve">SS = Z × d̄ × σL</t>
  </si>
  <si>
    <t xml:space="preserve">Formula 3: Combined variability (most accurate)</t>
  </si>
  <si>
    <t xml:space="preserve">SS = Z × √(L̄ × σd² + d̄² × σL²)</t>
  </si>
  <si>
    <t xml:space="preserve">SAFETY STOCK COMPARISON BY SERVICE LEVEL</t>
  </si>
  <si>
    <t xml:space="preserve">Z</t>
  </si>
  <si>
    <t xml:space="preserve">SS (Demand Only)</t>
  </si>
  <si>
    <t xml:space="preserve">SS (LT Only)</t>
  </si>
  <si>
    <t xml:space="preserve">SS (Combined)</t>
  </si>
  <si>
    <t xml:space="preserve">ROP</t>
  </si>
  <si>
    <t xml:space="preserve">EXAM-STYLE QUESTIONS:</t>
  </si>
  <si>
    <t xml:space="preserve">Answer using the results you computed above.</t>
  </si>
  <si>
    <t xml:space="preserve">Q1: At 95% service level, what is the safety stock using demand variability only?</t>
  </si>
  <si>
    <t xml:space="preserve">Answer:</t>
  </si>
  <si>
    <t xml:space="preserve">Q2: At 95% service level, what is the safety stock using combined variability?</t>
  </si>
  <si>
    <t xml:space="preserve">Q3: What is the Reorder Point at 99% service level (combined SS)?</t>
  </si>
  <si>
    <t xml:space="preserve">Q4: If σd doubles to 40 units, what happens to safety stock (combined formula)?</t>
  </si>
  <si>
    <t xml:space="preserve">Q5: A manager wants to reduce SS by 50%. What service level does this imply?</t>
  </si>
  <si>
    <t xml:space="preserve">Q6: Which has greater impact on SS: doubling σd or doubling σL? Calculate both.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</si>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</sst>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DBEAFE"/>
        <bgColor rgb="FFCCFFFF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15" hidden="false" customHeight="true" outlineLevel="0" collapsed="false">
      <c r="J7" s="5" t="s">
        <v>6</v>
      </c>
      <c r="K7" s="5"/>
      <c r="L7" s="5"/>
      <c r="M7" s="5"/>
      <c r="O7" s="6" t="s">
        <v>7</v>
      </c>
      <c r="P7" s="6"/>
      <c r="Q7" s="6"/>
    </row>
    <row r="8" customFormat="false" ht="23.85" hidden="false" customHeight="true" outlineLevel="0" collapsed="false">
      <c r="J8" s="5" t="s">
        <v>8</v>
      </c>
      <c r="K8" s="5"/>
      <c r="L8" s="5"/>
      <c r="M8" s="5"/>
      <c r="O8" s="7" t="s">
        <v>9</v>
      </c>
      <c r="P8" s="7"/>
      <c r="Q8" s="8" t="n">
        <v>104.2008</v>
      </c>
    </row>
    <row r="9" customFormat="false" ht="23.85" hidden="false" customHeight="true" outlineLevel="0" collapsed="false">
      <c r="A9" s="9" t="s">
        <v>10</v>
      </c>
      <c r="J9" s="5" t="s">
        <v>11</v>
      </c>
      <c r="K9" s="5"/>
      <c r="L9" s="5"/>
      <c r="M9" s="5"/>
      <c r="O9" s="7" t="s">
        <v>9</v>
      </c>
      <c r="P9" s="7"/>
      <c r="Q9" s="8" t="n">
        <v>233</v>
      </c>
    </row>
    <row r="10" customFormat="false" ht="23.85" hidden="false" customHeight="true" outlineLevel="0" collapsed="false">
      <c r="J10" s="5" t="s">
        <v>12</v>
      </c>
      <c r="K10" s="5"/>
      <c r="L10" s="5"/>
      <c r="M10" s="5"/>
      <c r="O10" s="7" t="s">
        <v>9</v>
      </c>
      <c r="P10" s="7"/>
      <c r="Q10" s="8" t="n">
        <v>255.2387</v>
      </c>
    </row>
    <row r="11" customFormat="false" ht="15" hidden="false" customHeight="false" outlineLevel="0" collapsed="false">
      <c r="A11" s="10" t="s">
        <v>13</v>
      </c>
      <c r="C11" s="11" t="s">
        <v>14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O11" s="7" t="s">
        <v>9</v>
      </c>
      <c r="P11" s="7"/>
      <c r="Q11" s="8" t="n">
        <v>755.2387</v>
      </c>
    </row>
    <row r="12" customFormat="false" ht="15" hidden="false" customHeight="false" outlineLevel="0" collapsed="false">
      <c r="A12" s="10" t="s">
        <v>15</v>
      </c>
      <c r="B12" s="12" t="n">
        <v>100</v>
      </c>
      <c r="C12" s="9" t="s">
        <v>16</v>
      </c>
    </row>
    <row r="13" customFormat="false" ht="15" hidden="false" customHeight="false" outlineLevel="0" collapsed="false">
      <c r="A13" s="10" t="s">
        <v>17</v>
      </c>
      <c r="B13" s="12" t="n">
        <v>20</v>
      </c>
      <c r="C13" s="9" t="s">
        <v>16</v>
      </c>
    </row>
    <row r="14" customFormat="false" ht="15" hidden="false" customHeight="false" outlineLevel="0" collapsed="false">
      <c r="A14" s="10" t="s">
        <v>18</v>
      </c>
      <c r="B14" s="12" t="n">
        <v>5</v>
      </c>
      <c r="C14" s="9" t="s">
        <v>19</v>
      </c>
    </row>
    <row r="15" customFormat="false" ht="15" hidden="false" customHeight="false" outlineLevel="0" collapsed="false">
      <c r="A15" s="10" t="s">
        <v>20</v>
      </c>
      <c r="B15" s="12" t="n">
        <v>1</v>
      </c>
      <c r="C15" s="9" t="s">
        <v>19</v>
      </c>
    </row>
    <row r="18" customFormat="false" ht="15" hidden="false" customHeight="false" outlineLevel="0" collapsed="false">
      <c r="A18" s="10" t="s">
        <v>21</v>
      </c>
    </row>
    <row r="19" customFormat="false" ht="15" hidden="false" customHeight="false" outlineLevel="0" collapsed="false">
      <c r="A19" s="1" t="s">
        <v>22</v>
      </c>
      <c r="B19" s="1" t="s">
        <v>23</v>
      </c>
      <c r="C19" s="1" t="s">
        <v>24</v>
      </c>
    </row>
    <row r="20" customFormat="false" ht="15" hidden="false" customHeight="false" outlineLevel="0" collapsed="false">
      <c r="A20" s="12" t="s">
        <v>25</v>
      </c>
      <c r="B20" s="12" t="n">
        <v>1.28</v>
      </c>
      <c r="C20" s="12" t="s">
        <v>26</v>
      </c>
    </row>
    <row r="21" customFormat="false" ht="15" hidden="false" customHeight="false" outlineLevel="0" collapsed="false">
      <c r="A21" s="12" t="s">
        <v>27</v>
      </c>
      <c r="B21" s="12" t="n">
        <v>1.65</v>
      </c>
      <c r="C21" s="12" t="s">
        <v>28</v>
      </c>
    </row>
    <row r="22" customFormat="false" ht="15" hidden="false" customHeight="false" outlineLevel="0" collapsed="false">
      <c r="A22" s="12" t="s">
        <v>29</v>
      </c>
      <c r="B22" s="12" t="n">
        <v>1.96</v>
      </c>
      <c r="C22" s="12" t="s">
        <v>30</v>
      </c>
    </row>
    <row r="23" customFormat="false" ht="15" hidden="false" customHeight="false" outlineLevel="0" collapsed="false">
      <c r="A23" s="12" t="s">
        <v>9</v>
      </c>
      <c r="B23" s="12" t="n">
        <v>2.33</v>
      </c>
      <c r="C23" s="12" t="s">
        <v>31</v>
      </c>
    </row>
    <row r="24" customFormat="false" ht="15" hidden="false" customHeight="false" outlineLevel="0" collapsed="false">
      <c r="A24" s="12" t="s">
        <v>32</v>
      </c>
      <c r="B24" s="12" t="n">
        <v>3.09</v>
      </c>
      <c r="C24" s="12" t="s">
        <v>33</v>
      </c>
    </row>
    <row r="27" customFormat="false" ht="15" hidden="false" customHeight="false" outlineLevel="0" collapsed="false">
      <c r="A27" s="10" t="s">
        <v>34</v>
      </c>
    </row>
    <row r="29" customFormat="false" ht="15" hidden="false" customHeight="false" outlineLevel="0" collapsed="false">
      <c r="A29" s="9" t="s">
        <v>35</v>
      </c>
    </row>
    <row r="30" customFormat="false" ht="15" hidden="false" customHeight="false" outlineLevel="0" collapsed="false">
      <c r="A30" s="9" t="s">
        <v>36</v>
      </c>
    </row>
    <row r="32" customFormat="false" ht="15" hidden="false" customHeight="false" outlineLevel="0" collapsed="false">
      <c r="A32" s="9" t="s">
        <v>37</v>
      </c>
    </row>
    <row r="33" customFormat="false" ht="15" hidden="false" customHeight="false" outlineLevel="0" collapsed="false">
      <c r="A33" s="9" t="s">
        <v>38</v>
      </c>
    </row>
    <row r="35" customFormat="false" ht="15" hidden="false" customHeight="false" outlineLevel="0" collapsed="false">
      <c r="A35" s="9" t="s">
        <v>39</v>
      </c>
    </row>
    <row r="36" customFormat="false" ht="15" hidden="false" customHeight="false" outlineLevel="0" collapsed="false">
      <c r="A36" s="9" t="s">
        <v>40</v>
      </c>
    </row>
    <row r="39" customFormat="false" ht="15" hidden="false" customHeight="false" outlineLevel="0" collapsed="false">
      <c r="A39" s="10" t="s">
        <v>41</v>
      </c>
    </row>
    <row r="40" customFormat="false" ht="15" hidden="false" customHeight="false" outlineLevel="0" collapsed="false">
      <c r="A40" s="1" t="s">
        <v>22</v>
      </c>
      <c r="B40" s="1" t="s">
        <v>42</v>
      </c>
      <c r="C40" s="1" t="s">
        <v>43</v>
      </c>
      <c r="D40" s="1" t="s">
        <v>44</v>
      </c>
      <c r="E40" s="1" t="s">
        <v>45</v>
      </c>
      <c r="F40" s="1" t="s">
        <v>46</v>
      </c>
    </row>
    <row r="41" customFormat="false" ht="15" hidden="false" customHeight="false" outlineLevel="0" collapsed="false">
      <c r="A41" s="9" t="s">
        <v>25</v>
      </c>
      <c r="B41" s="12" t="n">
        <v>1.28</v>
      </c>
      <c r="C41" s="13"/>
      <c r="D41" s="13"/>
      <c r="E41" s="13"/>
      <c r="F41" s="13"/>
    </row>
    <row r="42" customFormat="false" ht="15" hidden="false" customHeight="false" outlineLevel="0" collapsed="false">
      <c r="A42" s="9" t="s">
        <v>27</v>
      </c>
      <c r="B42" s="12" t="n">
        <v>1.65</v>
      </c>
      <c r="C42" s="13"/>
      <c r="D42" s="13"/>
      <c r="E42" s="13"/>
      <c r="F42" s="13"/>
    </row>
    <row r="43" customFormat="false" ht="15" hidden="false" customHeight="false" outlineLevel="0" collapsed="false">
      <c r="A43" s="9" t="s">
        <v>9</v>
      </c>
      <c r="B43" s="12" t="n">
        <v>2.33</v>
      </c>
      <c r="C43" s="13"/>
      <c r="D43" s="13"/>
      <c r="E43" s="13"/>
      <c r="F43" s="13"/>
    </row>
    <row r="46" customFormat="false" ht="15" hidden="false" customHeight="false" outlineLevel="0" collapsed="false">
      <c r="A46" s="10" t="s">
        <v>47</v>
      </c>
      <c r="C46" s="11" t="s">
        <v>48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8" customFormat="false" ht="15" hidden="false" customHeight="false" outlineLevel="0" collapsed="false">
      <c r="A48" s="14" t="s">
        <v>49</v>
      </c>
      <c r="B48" s="14"/>
      <c r="C48" s="14"/>
      <c r="D48" s="14"/>
      <c r="E48" s="14"/>
      <c r="F48" s="10" t="s">
        <v>50</v>
      </c>
    </row>
    <row r="49" customFormat="false" ht="15" hidden="false" customHeight="false" outlineLevel="0" collapsed="false">
      <c r="A49" s="14" t="s">
        <v>51</v>
      </c>
      <c r="B49" s="14"/>
      <c r="C49" s="14"/>
      <c r="D49" s="14"/>
      <c r="E49" s="14"/>
      <c r="F49" s="10" t="s">
        <v>50</v>
      </c>
    </row>
    <row r="50" customFormat="false" ht="15" hidden="false" customHeight="false" outlineLevel="0" collapsed="false">
      <c r="A50" s="14" t="s">
        <v>52</v>
      </c>
      <c r="B50" s="14"/>
      <c r="C50" s="14"/>
      <c r="D50" s="14"/>
      <c r="E50" s="14"/>
      <c r="F50" s="10" t="s">
        <v>50</v>
      </c>
    </row>
    <row r="51" customFormat="false" ht="15" hidden="false" customHeight="false" outlineLevel="0" collapsed="false">
      <c r="A51" s="14" t="s">
        <v>53</v>
      </c>
      <c r="B51" s="14"/>
      <c r="C51" s="14"/>
      <c r="D51" s="14"/>
      <c r="E51" s="14"/>
      <c r="F51" s="10" t="s">
        <v>50</v>
      </c>
    </row>
    <row r="52" customFormat="false" ht="15" hidden="false" customHeight="false" outlineLevel="0" collapsed="false">
      <c r="A52" s="14" t="s">
        <v>54</v>
      </c>
      <c r="B52" s="14"/>
      <c r="C52" s="14"/>
      <c r="D52" s="14"/>
      <c r="E52" s="14"/>
      <c r="F52" s="10" t="s">
        <v>50</v>
      </c>
    </row>
    <row r="53" customFormat="false" ht="15" hidden="false" customHeight="false" outlineLevel="0" collapsed="false">
      <c r="A53" s="14" t="s">
        <v>55</v>
      </c>
      <c r="B53" s="14"/>
      <c r="C53" s="14"/>
      <c r="D53" s="14"/>
      <c r="E53" s="14"/>
      <c r="F53" s="10" t="s">
        <v>50</v>
      </c>
    </row>
  </sheetData>
  <mergeCells count="24">
    <mergeCell ref="A1:M1"/>
    <mergeCell ref="A2:M2"/>
    <mergeCell ref="A3:M3"/>
    <mergeCell ref="A4:M4"/>
    <mergeCell ref="A6:H6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C11:M11"/>
    <mergeCell ref="O11:P11"/>
    <mergeCell ref="C46:M46"/>
    <mergeCell ref="A48:E48"/>
    <mergeCell ref="A49:E49"/>
    <mergeCell ref="A50:E50"/>
    <mergeCell ref="A51:E51"/>
    <mergeCell ref="A52:E52"/>
    <mergeCell ref="A53:E5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10" min="10" style="0" width="20"/>
    <col collapsed="false" customWidth="true" hidden="false" outlineLevel="0" max="15" min="15" style="0" width="2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 t="s">
        <v>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true" outlineLevel="0" collapsed="false">
      <c r="A4" s="3" t="s">
        <v>57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J6" s="1" t="s">
        <v>4</v>
      </c>
      <c r="K6" s="1"/>
      <c r="L6" s="1"/>
      <c r="M6" s="1"/>
      <c r="O6" s="1" t="s">
        <v>5</v>
      </c>
      <c r="P6" s="1"/>
      <c r="Q6" s="1"/>
    </row>
    <row r="7" customFormat="false" ht="15" hidden="false" customHeight="true" outlineLevel="0" collapsed="false">
      <c r="J7" s="5" t="s">
        <v>6</v>
      </c>
      <c r="K7" s="5"/>
      <c r="L7" s="5"/>
      <c r="M7" s="5"/>
      <c r="O7" s="6" t="s">
        <v>7</v>
      </c>
      <c r="P7" s="6"/>
      <c r="Q7" s="6"/>
    </row>
    <row r="8" customFormat="false" ht="23.85" hidden="false" customHeight="true" outlineLevel="0" collapsed="false">
      <c r="J8" s="5" t="s">
        <v>8</v>
      </c>
      <c r="K8" s="5"/>
      <c r="L8" s="5"/>
      <c r="M8" s="5"/>
      <c r="O8" s="7" t="s">
        <v>9</v>
      </c>
      <c r="P8" s="7"/>
      <c r="Q8" s="8" t="n">
        <v>104.2008</v>
      </c>
    </row>
    <row r="9" customFormat="false" ht="23.85" hidden="false" customHeight="true" outlineLevel="0" collapsed="false">
      <c r="A9" s="9" t="s">
        <v>10</v>
      </c>
      <c r="J9" s="5" t="s">
        <v>11</v>
      </c>
      <c r="K9" s="5"/>
      <c r="L9" s="5"/>
      <c r="M9" s="5"/>
      <c r="O9" s="7" t="s">
        <v>9</v>
      </c>
      <c r="P9" s="7"/>
      <c r="Q9" s="8" t="n">
        <v>233</v>
      </c>
    </row>
    <row r="10" customFormat="false" ht="23.85" hidden="false" customHeight="true" outlineLevel="0" collapsed="false">
      <c r="J10" s="5" t="s">
        <v>12</v>
      </c>
      <c r="K10" s="5"/>
      <c r="L10" s="5"/>
      <c r="M10" s="5"/>
      <c r="O10" s="7" t="s">
        <v>9</v>
      </c>
      <c r="P10" s="7"/>
      <c r="Q10" s="8" t="n">
        <v>255.2387</v>
      </c>
    </row>
    <row r="11" customFormat="false" ht="15" hidden="false" customHeight="false" outlineLevel="0" collapsed="false">
      <c r="A11" s="10" t="s">
        <v>13</v>
      </c>
      <c r="C11" s="11" t="s">
        <v>14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O11" s="7" t="s">
        <v>9</v>
      </c>
      <c r="P11" s="7"/>
      <c r="Q11" s="8" t="n">
        <v>755.2387</v>
      </c>
    </row>
    <row r="12" customFormat="false" ht="15" hidden="false" customHeight="false" outlineLevel="0" collapsed="false">
      <c r="A12" s="10" t="s">
        <v>15</v>
      </c>
      <c r="B12" s="12" t="n">
        <v>100</v>
      </c>
      <c r="C12" s="9" t="s">
        <v>16</v>
      </c>
    </row>
    <row r="13" customFormat="false" ht="15" hidden="false" customHeight="false" outlineLevel="0" collapsed="false">
      <c r="A13" s="10" t="s">
        <v>17</v>
      </c>
      <c r="B13" s="12" t="n">
        <v>20</v>
      </c>
      <c r="C13" s="9" t="s">
        <v>16</v>
      </c>
    </row>
    <row r="14" customFormat="false" ht="15" hidden="false" customHeight="false" outlineLevel="0" collapsed="false">
      <c r="A14" s="10" t="s">
        <v>18</v>
      </c>
      <c r="B14" s="12" t="n">
        <v>5</v>
      </c>
      <c r="C14" s="9" t="s">
        <v>19</v>
      </c>
    </row>
    <row r="15" customFormat="false" ht="15" hidden="false" customHeight="false" outlineLevel="0" collapsed="false">
      <c r="A15" s="10" t="s">
        <v>20</v>
      </c>
      <c r="B15" s="12" t="n">
        <v>1</v>
      </c>
      <c r="C15" s="9" t="s">
        <v>19</v>
      </c>
    </row>
    <row r="18" customFormat="false" ht="15" hidden="false" customHeight="false" outlineLevel="0" collapsed="false">
      <c r="A18" s="10" t="s">
        <v>21</v>
      </c>
    </row>
    <row r="19" customFormat="false" ht="15" hidden="false" customHeight="false" outlineLevel="0" collapsed="false">
      <c r="A19" s="1" t="s">
        <v>22</v>
      </c>
      <c r="B19" s="1" t="s">
        <v>23</v>
      </c>
      <c r="C19" s="1" t="s">
        <v>24</v>
      </c>
    </row>
    <row r="20" customFormat="false" ht="15" hidden="false" customHeight="false" outlineLevel="0" collapsed="false">
      <c r="A20" s="12" t="s">
        <v>25</v>
      </c>
      <c r="B20" s="12" t="n">
        <v>1.28</v>
      </c>
      <c r="C20" s="12" t="s">
        <v>26</v>
      </c>
    </row>
    <row r="21" customFormat="false" ht="15" hidden="false" customHeight="false" outlineLevel="0" collapsed="false">
      <c r="A21" s="12" t="s">
        <v>27</v>
      </c>
      <c r="B21" s="12" t="n">
        <v>1.65</v>
      </c>
      <c r="C21" s="12" t="s">
        <v>28</v>
      </c>
    </row>
    <row r="22" customFormat="false" ht="15" hidden="false" customHeight="false" outlineLevel="0" collapsed="false">
      <c r="A22" s="12" t="s">
        <v>29</v>
      </c>
      <c r="B22" s="12" t="n">
        <v>1.96</v>
      </c>
      <c r="C22" s="12" t="s">
        <v>30</v>
      </c>
    </row>
    <row r="23" customFormat="false" ht="15" hidden="false" customHeight="false" outlineLevel="0" collapsed="false">
      <c r="A23" s="12" t="s">
        <v>9</v>
      </c>
      <c r="B23" s="12" t="n">
        <v>2.33</v>
      </c>
      <c r="C23" s="12" t="s">
        <v>31</v>
      </c>
    </row>
    <row r="24" customFormat="false" ht="15" hidden="false" customHeight="false" outlineLevel="0" collapsed="false">
      <c r="A24" s="12" t="s">
        <v>32</v>
      </c>
      <c r="B24" s="12" t="n">
        <v>3.09</v>
      </c>
      <c r="C24" s="12" t="s">
        <v>33</v>
      </c>
    </row>
    <row r="27" customFormat="false" ht="15" hidden="false" customHeight="false" outlineLevel="0" collapsed="false">
      <c r="A27" s="10" t="s">
        <v>34</v>
      </c>
    </row>
    <row r="29" customFormat="false" ht="15" hidden="false" customHeight="false" outlineLevel="0" collapsed="false">
      <c r="A29" s="9" t="s">
        <v>35</v>
      </c>
    </row>
    <row r="30" customFormat="false" ht="15" hidden="false" customHeight="false" outlineLevel="0" collapsed="false">
      <c r="A30" s="9" t="s">
        <v>36</v>
      </c>
    </row>
    <row r="32" customFormat="false" ht="15" hidden="false" customHeight="false" outlineLevel="0" collapsed="false">
      <c r="A32" s="9" t="s">
        <v>37</v>
      </c>
    </row>
    <row r="33" customFormat="false" ht="15" hidden="false" customHeight="false" outlineLevel="0" collapsed="false">
      <c r="A33" s="9" t="s">
        <v>38</v>
      </c>
    </row>
    <row r="35" customFormat="false" ht="15" hidden="false" customHeight="false" outlineLevel="0" collapsed="false">
      <c r="A35" s="9" t="s">
        <v>39</v>
      </c>
    </row>
    <row r="36" customFormat="false" ht="15" hidden="false" customHeight="false" outlineLevel="0" collapsed="false">
      <c r="A36" s="9" t="s">
        <v>40</v>
      </c>
    </row>
    <row r="39" customFormat="false" ht="15" hidden="false" customHeight="false" outlineLevel="0" collapsed="false">
      <c r="A39" s="10" t="s">
        <v>41</v>
      </c>
    </row>
    <row r="40" customFormat="false" ht="15" hidden="false" customHeight="false" outlineLevel="0" collapsed="false">
      <c r="A40" s="1" t="s">
        <v>22</v>
      </c>
      <c r="B40" s="1" t="s">
        <v>42</v>
      </c>
      <c r="C40" s="1" t="s">
        <v>43</v>
      </c>
      <c r="D40" s="1" t="s">
        <v>44</v>
      </c>
      <c r="E40" s="1" t="s">
        <v>45</v>
      </c>
      <c r="F40" s="1" t="s">
        <v>46</v>
      </c>
    </row>
    <row r="41" customFormat="false" ht="15" hidden="false" customHeight="false" outlineLevel="0" collapsed="false">
      <c r="A41" s="9" t="s">
        <v>25</v>
      </c>
      <c r="B41" s="12" t="n">
        <v>1.28</v>
      </c>
      <c r="C41" s="13" t="n">
        <f aca="false">B41*$B$13*SQRT($B$14)</f>
        <v>57.2433402239946</v>
      </c>
      <c r="D41" s="13" t="n">
        <f aca="false">B41*$B$12*$B$15</f>
        <v>128</v>
      </c>
      <c r="E41" s="13" t="n">
        <f aca="false">B41*SQRT($B$14*$B$13^2+$B$12^2*$B$15^2)</f>
        <v>140.216974721323</v>
      </c>
      <c r="F41" s="13" t="n">
        <f aca="false">$B$12*$B$14+E41</f>
        <v>640.216974721323</v>
      </c>
    </row>
    <row r="42" customFormat="false" ht="15" hidden="false" customHeight="false" outlineLevel="0" collapsed="false">
      <c r="A42" s="9" t="s">
        <v>27</v>
      </c>
      <c r="B42" s="12" t="n">
        <v>1.65</v>
      </c>
      <c r="C42" s="13" t="n">
        <f aca="false">B42*$B$13*SQRT($B$14)</f>
        <v>73.7902432574931</v>
      </c>
      <c r="D42" s="13" t="n">
        <f aca="false">B42*$B$12*$B$15</f>
        <v>165</v>
      </c>
      <c r="E42" s="13" t="n">
        <f aca="false">B42*SQRT($B$14*$B$13^2+$B$12^2*$B$15^2)</f>
        <v>180.748443976705</v>
      </c>
      <c r="F42" s="13" t="n">
        <f aca="false">$B$12*$B$14+E42</f>
        <v>680.748443976705</v>
      </c>
    </row>
    <row r="43" customFormat="false" ht="15" hidden="false" customHeight="false" outlineLevel="0" collapsed="false">
      <c r="A43" s="9" t="s">
        <v>9</v>
      </c>
      <c r="B43" s="12" t="n">
        <v>2.33</v>
      </c>
      <c r="C43" s="13" t="n">
        <f aca="false">B43*$B$13*SQRT($B$14)</f>
        <v>104.20076775149</v>
      </c>
      <c r="D43" s="13" t="n">
        <f aca="false">B43*$B$12*$B$15</f>
        <v>233</v>
      </c>
      <c r="E43" s="13" t="n">
        <f aca="false">B43*SQRT($B$14*$B$13^2+$B$12^2*$B$15^2)</f>
        <v>255.238711797407</v>
      </c>
      <c r="F43" s="13" t="n">
        <f aca="false">$B$12*$B$14+E43</f>
        <v>755.238711797407</v>
      </c>
    </row>
    <row r="46" customFormat="false" ht="15" hidden="false" customHeight="false" outlineLevel="0" collapsed="false">
      <c r="A46" s="10" t="s">
        <v>47</v>
      </c>
      <c r="C46" s="11" t="s">
        <v>48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8" customFormat="false" ht="15" hidden="false" customHeight="false" outlineLevel="0" collapsed="false">
      <c r="A48" s="14" t="s">
        <v>49</v>
      </c>
      <c r="B48" s="14"/>
      <c r="C48" s="14"/>
      <c r="D48" s="14"/>
      <c r="E48" s="14"/>
      <c r="F48" s="10" t="s">
        <v>50</v>
      </c>
    </row>
    <row r="49" customFormat="false" ht="15" hidden="false" customHeight="false" outlineLevel="0" collapsed="false">
      <c r="A49" s="14" t="s">
        <v>51</v>
      </c>
      <c r="B49" s="14"/>
      <c r="C49" s="14"/>
      <c r="D49" s="14"/>
      <c r="E49" s="14"/>
      <c r="F49" s="10" t="s">
        <v>50</v>
      </c>
    </row>
    <row r="50" customFormat="false" ht="15" hidden="false" customHeight="false" outlineLevel="0" collapsed="false">
      <c r="A50" s="14" t="s">
        <v>52</v>
      </c>
      <c r="B50" s="14"/>
      <c r="C50" s="14"/>
      <c r="D50" s="14"/>
      <c r="E50" s="14"/>
      <c r="F50" s="10" t="s">
        <v>50</v>
      </c>
    </row>
    <row r="51" customFormat="false" ht="15" hidden="false" customHeight="false" outlineLevel="0" collapsed="false">
      <c r="A51" s="14" t="s">
        <v>53</v>
      </c>
      <c r="B51" s="14"/>
      <c r="C51" s="14"/>
      <c r="D51" s="14"/>
      <c r="E51" s="14"/>
      <c r="F51" s="10" t="s">
        <v>50</v>
      </c>
    </row>
    <row r="52" customFormat="false" ht="15" hidden="false" customHeight="false" outlineLevel="0" collapsed="false">
      <c r="A52" s="14" t="s">
        <v>54</v>
      </c>
      <c r="B52" s="14"/>
      <c r="C52" s="14"/>
      <c r="D52" s="14"/>
      <c r="E52" s="14"/>
      <c r="F52" s="10" t="s">
        <v>50</v>
      </c>
    </row>
    <row r="53" customFormat="false" ht="15" hidden="false" customHeight="false" outlineLevel="0" collapsed="false">
      <c r="A53" s="14" t="s">
        <v>55</v>
      </c>
      <c r="B53" s="14"/>
      <c r="C53" s="14"/>
      <c r="D53" s="14"/>
      <c r="E53" s="14"/>
      <c r="F53" s="10" t="s">
        <v>50</v>
      </c>
    </row>
  </sheetData>
  <mergeCells count="24">
    <mergeCell ref="A1:M1"/>
    <mergeCell ref="A2:M2"/>
    <mergeCell ref="A3:M3"/>
    <mergeCell ref="A4:M4"/>
    <mergeCell ref="A6:H6"/>
    <mergeCell ref="J6:M6"/>
    <mergeCell ref="O6:Q6"/>
    <mergeCell ref="J7:M7"/>
    <mergeCell ref="O7:Q7"/>
    <mergeCell ref="J8:M8"/>
    <mergeCell ref="O8:P8"/>
    <mergeCell ref="J9:M9"/>
    <mergeCell ref="O9:P9"/>
    <mergeCell ref="J10:M10"/>
    <mergeCell ref="O10:P10"/>
    <mergeCell ref="C11:M11"/>
    <mergeCell ref="O11:P11"/>
    <mergeCell ref="C46:M46"/>
    <mergeCell ref="A48:E48"/>
    <mergeCell ref="A49:E49"/>
    <mergeCell ref="A50:E50"/>
    <mergeCell ref="A51:E51"/>
    <mergeCell ref="A52:E52"/>
    <mergeCell ref="A53:E53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