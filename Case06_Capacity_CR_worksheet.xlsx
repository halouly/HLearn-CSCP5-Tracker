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6 - Capacity &amp; CR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<sst xmlns="http://schemas.openxmlformats.org/spreadsheetml/2006/main" count="120" uniqueCount="52">
  <si>
    <t xml:space="preserve">CASE 6: CAPACITY PLANNING &amp; JOB PRIORITIZATION</t>
  </si>
  <si>
    <t xml:space="preserve">Calculation Worksheet</t>
  </si>
  <si>
    <t xml:space="preserve">SCENARIO: A work center has multiple jobs. Calculate capacity metrics and prioritize using Critical Ratio.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</si>
  <si>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</si>
  <si>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</si>
  <si>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</si>
  <si>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Calculate work-center capacity and prioritize jobs.</t>
  </si>
  <si>
    <t xml:space="preserve">Self-check targets.</t>
  </si>
  <si>
    <t xml:space="preserve">Your task: Compute rated and demonstrated capacity, then sequence jobs by critical ratio.</t>
  </si>
  <si>
    <t xml:space="preserve">J105</t>
  </si>
  <si>
    <t xml:space="preserve">Approach: Critical ratio = days-until-due ÷ days-of-work-remaining; work the lowest CR first.</t>
  </si>
  <si>
    <t xml:space="preserve">WORK CENTER DATA</t>
  </si>
  <si>
    <t xml:space="preserve">Given values (blue) — do not change.</t>
  </si>
  <si>
    <t xml:space="preserve">Available Hours/Day</t>
  </si>
  <si>
    <t xml:space="preserve">Days/Week</t>
  </si>
  <si>
    <t xml:space="preserve">Number of Machines</t>
  </si>
  <si>
    <t xml:space="preserve">Historical Efficiency</t>
  </si>
  <si>
    <t xml:space="preserve">Historical Utilization</t>
  </si>
  <si>
    <t xml:space="preserve">CAPACITY CALCULATIONS</t>
  </si>
  <si>
    <t xml:space="preserve">Work each green cell using the formula shown.</t>
  </si>
  <si>
    <t xml:space="preserve">Theoretical Capacity (hrs/wk)</t>
  </si>
  <si>
    <t xml:space="preserve">hours</t>
  </si>
  <si>
    <t xml:space="preserve">Demonstrated Capacity</t>
  </si>
  <si>
    <t xml:space="preserve">Rated Capacity</t>
  </si>
  <si>
    <t xml:space="preserve">CURRENT JOB QUEUE (Today = Day 100)</t>
  </si>
  <si>
    <t xml:space="preserve">Job</t>
  </si>
  <si>
    <t xml:space="preserve">Due Date</t>
  </si>
  <si>
    <t xml:space="preserve">Days Until Due</t>
  </si>
  <si>
    <t xml:space="preserve">Std Hours Remaining</t>
  </si>
  <si>
    <t xml:space="preserve">Hrs/Day Available</t>
  </si>
  <si>
    <t xml:space="preserve">Days Work Remaining</t>
  </si>
  <si>
    <t xml:space="preserve">Critical Ratio</t>
  </si>
  <si>
    <t xml:space="preserve">Priority</t>
  </si>
  <si>
    <t xml:space="preserve">J101</t>
  </si>
  <si>
    <t xml:space="preserve">J102</t>
  </si>
  <si>
    <t xml:space="preserve">J103</t>
  </si>
  <si>
    <t xml:space="preserve">J104</t>
  </si>
  <si>
    <t xml:space="preserve">CRITICAL RATIO INTERPRETATION:</t>
  </si>
  <si>
    <t xml:space="preserve">CR &lt; 1.0 = Behind schedule (URGENT)</t>
  </si>
  <si>
    <t xml:space="preserve">CR = 1.0 = On schedule</t>
  </si>
  <si>
    <t xml:space="preserve">CR &gt; 1.0 = Ahead of schedule</t>
  </si>
  <si>
    <t xml:space="preserve">EXAM-STYLE QUESTIONS:</t>
  </si>
  <si>
    <t xml:space="preserve">Answer using the results you computed above.</t>
  </si>
  <si>
    <t xml:space="preserve">Q1: What is the Demonstrated Capacity for this work center (hrs/week)?</t>
  </si>
  <si>
    <t xml:space="preserve">Answer:</t>
  </si>
  <si>
    <t xml:space="preserve">Q2: Which job has the LOWEST Critical Ratio and should be worked first?</t>
  </si>
  <si>
    <t xml:space="preserve">Q3: Which job(s) are behind schedule (CR &lt; 1)?</t>
  </si>
  <si>
    <t xml:space="preserve">Q4: Job J103 is due in 3 days with 12 hours work remaining. What is its CR?</t>
  </si>
  <si>
    <t xml:space="preserve">Q5: If efficiency improves to 95%, what is the new Demonstrated Capacity?</t>
  </si>
  <si>
    <t xml:space="preserve">Q6: To complete all jobs on time, what minimum additional capacity is needed?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</si>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</sst>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11" min="11" style="0" width="20"/>
    <col collapsed="false" customWidth="true" hidden="false" outlineLevel="0" max="16" min="16" style="0" width="24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K6" s="1" t="s">
        <v>4</v>
      </c>
      <c r="L6" s="1"/>
      <c r="M6" s="1"/>
      <c r="N6" s="1"/>
      <c r="P6" s="1" t="s">
        <v>5</v>
      </c>
      <c r="Q6" s="1"/>
      <c r="R6" s="1"/>
    </row>
    <row r="7" customFormat="false" ht="23.85" hidden="false" customHeight="true" outlineLevel="0" collapsed="false">
      <c r="K7" s="5" t="s">
        <v>6</v>
      </c>
      <c r="L7" s="5"/>
      <c r="M7" s="5"/>
      <c r="N7" s="5"/>
      <c r="P7" s="6" t="s">
        <v>7</v>
      </c>
      <c r="Q7" s="6"/>
      <c r="R7" s="6"/>
    </row>
    <row r="8" customFormat="false" ht="23.85" hidden="false" customHeight="true" outlineLevel="0" collapsed="false">
      <c r="K8" s="5" t="s">
        <v>8</v>
      </c>
      <c r="L8" s="5"/>
      <c r="M8" s="5"/>
      <c r="N8" s="5"/>
      <c r="P8" s="7" t="s">
        <v>9</v>
      </c>
      <c r="Q8" s="7"/>
      <c r="R8" s="8" t="n">
        <v>8</v>
      </c>
    </row>
    <row r="9" customFormat="false" ht="23.85" hidden="false" customHeight="true" outlineLevel="0" collapsed="false">
      <c r="K9" s="5" t="s">
        <v>10</v>
      </c>
      <c r="L9" s="5"/>
      <c r="M9" s="5"/>
      <c r="N9" s="5"/>
      <c r="P9" s="7" t="s">
        <v>9</v>
      </c>
      <c r="Q9" s="7"/>
      <c r="R9" s="8" t="n">
        <v>18.36</v>
      </c>
    </row>
    <row r="10" customFormat="false" ht="15" hidden="false" customHeight="false" outlineLevel="0" collapsed="false">
      <c r="A10" s="9" t="s">
        <v>11</v>
      </c>
      <c r="C10" s="10" t="s">
        <v>12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P10" s="7" t="s">
        <v>9</v>
      </c>
      <c r="Q10" s="7"/>
      <c r="R10" s="8" t="n">
        <v>0.4357</v>
      </c>
    </row>
    <row r="11" customFormat="false" ht="15" hidden="false" customHeight="false" outlineLevel="0" collapsed="false">
      <c r="A11" s="9" t="s">
        <v>13</v>
      </c>
      <c r="B11" s="11" t="n">
        <v>8</v>
      </c>
    </row>
    <row r="12" customFormat="false" ht="15" hidden="false" customHeight="false" outlineLevel="0" collapsed="false">
      <c r="A12" s="9" t="s">
        <v>14</v>
      </c>
      <c r="B12" s="11" t="n">
        <v>5</v>
      </c>
    </row>
    <row r="13" customFormat="false" ht="15" hidden="false" customHeight="false" outlineLevel="0" collapsed="false">
      <c r="A13" s="9" t="s">
        <v>15</v>
      </c>
      <c r="B13" s="11" t="n">
        <v>3</v>
      </c>
    </row>
    <row r="14" customFormat="false" ht="15" hidden="false" customHeight="false" outlineLevel="0" collapsed="false">
      <c r="A14" s="9" t="s">
        <v>16</v>
      </c>
      <c r="B14" s="11" t="n">
        <v>0.9</v>
      </c>
    </row>
    <row r="15" customFormat="false" ht="15" hidden="false" customHeight="false" outlineLevel="0" collapsed="false">
      <c r="A15" s="9" t="s">
        <v>17</v>
      </c>
      <c r="B15" s="11" t="n">
        <v>0.85</v>
      </c>
    </row>
    <row r="18" customFormat="false" ht="15" hidden="false" customHeight="false" outlineLevel="0" collapsed="false">
      <c r="A18" s="9" t="s">
        <v>18</v>
      </c>
      <c r="C18" s="10" t="s">
        <v>19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5" hidden="false" customHeight="false" outlineLevel="0" collapsed="false">
      <c r="A19" s="9" t="s">
        <v>20</v>
      </c>
      <c r="B19" s="12"/>
      <c r="C19" s="13" t="s">
        <v>21</v>
      </c>
    </row>
    <row r="20" customFormat="false" ht="15" hidden="false" customHeight="false" outlineLevel="0" collapsed="false">
      <c r="A20" s="9" t="s">
        <v>22</v>
      </c>
      <c r="B20" s="12"/>
      <c r="C20" s="13" t="s">
        <v>21</v>
      </c>
    </row>
    <row r="21" customFormat="false" ht="15" hidden="false" customHeight="false" outlineLevel="0" collapsed="false">
      <c r="A21" s="9" t="s">
        <v>23</v>
      </c>
      <c r="B21" s="12"/>
      <c r="C21" s="13" t="s">
        <v>21</v>
      </c>
    </row>
    <row r="24" customFormat="false" ht="15" hidden="false" customHeight="false" outlineLevel="0" collapsed="false">
      <c r="A24" s="9" t="s">
        <v>24</v>
      </c>
    </row>
    <row r="25" customFormat="false" ht="15" hidden="false" customHeight="false" outlineLevel="0" collapsed="false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</row>
    <row r="26" customFormat="false" ht="15" hidden="false" customHeight="false" outlineLevel="0" collapsed="false">
      <c r="A26" s="11" t="s">
        <v>33</v>
      </c>
      <c r="B26" s="11" t="n">
        <v>105</v>
      </c>
      <c r="C26" s="12"/>
      <c r="D26" s="11" t="n">
        <v>24</v>
      </c>
      <c r="E26" s="12"/>
      <c r="F26" s="12"/>
      <c r="G26" s="12"/>
    </row>
    <row r="27" customFormat="false" ht="15" hidden="false" customHeight="false" outlineLevel="0" collapsed="false">
      <c r="A27" s="11" t="s">
        <v>34</v>
      </c>
      <c r="B27" s="11" t="n">
        <v>110</v>
      </c>
      <c r="C27" s="12"/>
      <c r="D27" s="11" t="n">
        <v>16</v>
      </c>
      <c r="E27" s="12"/>
      <c r="F27" s="12"/>
      <c r="G27" s="12"/>
    </row>
    <row r="28" customFormat="false" ht="15" hidden="false" customHeight="false" outlineLevel="0" collapsed="false">
      <c r="A28" s="11" t="s">
        <v>35</v>
      </c>
      <c r="B28" s="11" t="n">
        <v>103</v>
      </c>
      <c r="C28" s="12"/>
      <c r="D28" s="11" t="n">
        <v>12</v>
      </c>
      <c r="E28" s="12"/>
      <c r="F28" s="12"/>
      <c r="G28" s="12"/>
    </row>
    <row r="29" customFormat="false" ht="15" hidden="false" customHeight="false" outlineLevel="0" collapsed="false">
      <c r="A29" s="11" t="s">
        <v>36</v>
      </c>
      <c r="B29" s="11" t="n">
        <v>115</v>
      </c>
      <c r="C29" s="12"/>
      <c r="D29" s="11" t="n">
        <v>40</v>
      </c>
      <c r="E29" s="12"/>
      <c r="F29" s="12"/>
      <c r="G29" s="12"/>
    </row>
    <row r="30" customFormat="false" ht="15" hidden="false" customHeight="false" outlineLevel="0" collapsed="false">
      <c r="A30" s="11" t="s">
        <v>9</v>
      </c>
      <c r="B30" s="11" t="n">
        <v>108</v>
      </c>
      <c r="C30" s="12"/>
      <c r="D30" s="11" t="n">
        <v>8</v>
      </c>
      <c r="E30" s="12"/>
      <c r="F30" s="12"/>
      <c r="G30" s="12"/>
    </row>
    <row r="33" customFormat="false" ht="15" hidden="false" customHeight="false" outlineLevel="0" collapsed="false">
      <c r="A33" s="9" t="s">
        <v>37</v>
      </c>
    </row>
    <row r="34" customFormat="false" ht="15" hidden="false" customHeight="false" outlineLevel="0" collapsed="false">
      <c r="A34" s="9" t="s">
        <v>38</v>
      </c>
    </row>
    <row r="35" customFormat="false" ht="15" hidden="false" customHeight="false" outlineLevel="0" collapsed="false">
      <c r="A35" s="13" t="s">
        <v>39</v>
      </c>
    </row>
    <row r="36" customFormat="false" ht="15" hidden="false" customHeight="false" outlineLevel="0" collapsed="false">
      <c r="A36" s="13" t="s">
        <v>40</v>
      </c>
    </row>
    <row r="39" customFormat="false" ht="15" hidden="false" customHeight="false" outlineLevel="0" collapsed="false">
      <c r="A39" s="9" t="s">
        <v>41</v>
      </c>
      <c r="C39" s="10" t="s">
        <v>42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1" customFormat="false" ht="15" hidden="false" customHeight="false" outlineLevel="0" collapsed="false">
      <c r="A41" s="14" t="s">
        <v>43</v>
      </c>
      <c r="B41" s="14"/>
      <c r="C41" s="14"/>
      <c r="D41" s="14"/>
      <c r="E41" s="14"/>
      <c r="F41" s="14"/>
      <c r="G41" s="9" t="s">
        <v>44</v>
      </c>
    </row>
    <row r="42" customFormat="false" ht="15" hidden="false" customHeight="false" outlineLevel="0" collapsed="false">
      <c r="A42" s="14" t="s">
        <v>45</v>
      </c>
      <c r="B42" s="14"/>
      <c r="C42" s="14"/>
      <c r="D42" s="14"/>
      <c r="E42" s="14"/>
      <c r="F42" s="14"/>
      <c r="G42" s="9" t="s">
        <v>44</v>
      </c>
    </row>
    <row r="43" customFormat="false" ht="15" hidden="false" customHeight="false" outlineLevel="0" collapsed="false">
      <c r="A43" s="14" t="s">
        <v>46</v>
      </c>
      <c r="B43" s="14"/>
      <c r="C43" s="14"/>
      <c r="D43" s="14"/>
      <c r="E43" s="14"/>
      <c r="F43" s="14"/>
      <c r="G43" s="9" t="s">
        <v>44</v>
      </c>
    </row>
    <row r="44" customFormat="false" ht="15" hidden="false" customHeight="false" outlineLevel="0" collapsed="false">
      <c r="A44" s="14" t="s">
        <v>47</v>
      </c>
      <c r="B44" s="14"/>
      <c r="C44" s="14"/>
      <c r="D44" s="14"/>
      <c r="E44" s="14"/>
      <c r="F44" s="14"/>
      <c r="G44" s="9" t="s">
        <v>44</v>
      </c>
    </row>
    <row r="45" customFormat="false" ht="15" hidden="false" customHeight="false" outlineLevel="0" collapsed="false">
      <c r="A45" s="14" t="s">
        <v>48</v>
      </c>
      <c r="B45" s="14"/>
      <c r="C45" s="14"/>
      <c r="D45" s="14"/>
      <c r="E45" s="14"/>
      <c r="F45" s="14"/>
      <c r="G45" s="9" t="s">
        <v>44</v>
      </c>
    </row>
    <row r="46" customFormat="false" ht="15" hidden="false" customHeight="false" outlineLevel="0" collapsed="false">
      <c r="A46" s="14" t="s">
        <v>49</v>
      </c>
      <c r="B46" s="14"/>
      <c r="C46" s="14"/>
      <c r="D46" s="14"/>
      <c r="E46" s="14"/>
      <c r="F46" s="14"/>
      <c r="G46" s="9" t="s">
        <v>44</v>
      </c>
    </row>
  </sheetData>
  <mergeCells count="23">
    <mergeCell ref="A1:N1"/>
    <mergeCell ref="A2:N2"/>
    <mergeCell ref="A3:N3"/>
    <mergeCell ref="A4:N4"/>
    <mergeCell ref="A6:I6"/>
    <mergeCell ref="K6:N6"/>
    <mergeCell ref="P6:R6"/>
    <mergeCell ref="K7:N7"/>
    <mergeCell ref="P7:R7"/>
    <mergeCell ref="K8:N8"/>
    <mergeCell ref="P8:Q8"/>
    <mergeCell ref="K9:N9"/>
    <mergeCell ref="P9:Q9"/>
    <mergeCell ref="C10:N10"/>
    <mergeCell ref="P10:Q10"/>
    <mergeCell ref="C18:N18"/>
    <mergeCell ref="C39:N39"/>
    <mergeCell ref="A41:F41"/>
    <mergeCell ref="A42:F42"/>
    <mergeCell ref="A43:F43"/>
    <mergeCell ref="A44:F44"/>
    <mergeCell ref="A45:F45"/>
    <mergeCell ref="A46:F4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11" min="11" style="0" width="20"/>
    <col collapsed="false" customWidth="true" hidden="false" outlineLevel="0" max="16" min="16" style="0" width="24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 t="s">
        <v>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K6" s="1" t="s">
        <v>4</v>
      </c>
      <c r="L6" s="1"/>
      <c r="M6" s="1"/>
      <c r="N6" s="1"/>
      <c r="P6" s="1" t="s">
        <v>5</v>
      </c>
      <c r="Q6" s="1"/>
      <c r="R6" s="1"/>
    </row>
    <row r="7" customFormat="false" ht="23.85" hidden="false" customHeight="true" outlineLevel="0" collapsed="false">
      <c r="K7" s="5" t="s">
        <v>6</v>
      </c>
      <c r="L7" s="5"/>
      <c r="M7" s="5"/>
      <c r="N7" s="5"/>
      <c r="P7" s="6" t="s">
        <v>7</v>
      </c>
      <c r="Q7" s="6"/>
      <c r="R7" s="6"/>
    </row>
    <row r="8" customFormat="false" ht="23.85" hidden="false" customHeight="true" outlineLevel="0" collapsed="false">
      <c r="K8" s="5" t="s">
        <v>8</v>
      </c>
      <c r="L8" s="5"/>
      <c r="M8" s="5"/>
      <c r="N8" s="5"/>
      <c r="P8" s="7" t="s">
        <v>9</v>
      </c>
      <c r="Q8" s="7"/>
      <c r="R8" s="8" t="n">
        <v>8</v>
      </c>
    </row>
    <row r="9" customFormat="false" ht="23.85" hidden="false" customHeight="true" outlineLevel="0" collapsed="false">
      <c r="K9" s="5" t="s">
        <v>10</v>
      </c>
      <c r="L9" s="5"/>
      <c r="M9" s="5"/>
      <c r="N9" s="5"/>
      <c r="P9" s="7" t="s">
        <v>9</v>
      </c>
      <c r="Q9" s="7"/>
      <c r="R9" s="8" t="n">
        <v>18.36</v>
      </c>
    </row>
    <row r="10" customFormat="false" ht="15" hidden="false" customHeight="false" outlineLevel="0" collapsed="false">
      <c r="A10" s="9" t="s">
        <v>11</v>
      </c>
      <c r="C10" s="10" t="s">
        <v>12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P10" s="7" t="s">
        <v>9</v>
      </c>
      <c r="Q10" s="7"/>
      <c r="R10" s="8" t="n">
        <v>0.4357</v>
      </c>
    </row>
    <row r="11" customFormat="false" ht="15" hidden="false" customHeight="false" outlineLevel="0" collapsed="false">
      <c r="A11" s="9" t="s">
        <v>13</v>
      </c>
      <c r="B11" s="11" t="n">
        <v>8</v>
      </c>
    </row>
    <row r="12" customFormat="false" ht="15" hidden="false" customHeight="false" outlineLevel="0" collapsed="false">
      <c r="A12" s="9" t="s">
        <v>14</v>
      </c>
      <c r="B12" s="11" t="n">
        <v>5</v>
      </c>
    </row>
    <row r="13" customFormat="false" ht="15" hidden="false" customHeight="false" outlineLevel="0" collapsed="false">
      <c r="A13" s="9" t="s">
        <v>15</v>
      </c>
      <c r="B13" s="11" t="n">
        <v>3</v>
      </c>
    </row>
    <row r="14" customFormat="false" ht="15" hidden="false" customHeight="false" outlineLevel="0" collapsed="false">
      <c r="A14" s="9" t="s">
        <v>16</v>
      </c>
      <c r="B14" s="11" t="n">
        <v>0.9</v>
      </c>
    </row>
    <row r="15" customFormat="false" ht="15" hidden="false" customHeight="false" outlineLevel="0" collapsed="false">
      <c r="A15" s="9" t="s">
        <v>17</v>
      </c>
      <c r="B15" s="11" t="n">
        <v>0.85</v>
      </c>
    </row>
    <row r="18" customFormat="false" ht="15" hidden="false" customHeight="false" outlineLevel="0" collapsed="false">
      <c r="A18" s="9" t="s">
        <v>18</v>
      </c>
      <c r="C18" s="10" t="s">
        <v>19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5" hidden="false" customHeight="false" outlineLevel="0" collapsed="false">
      <c r="A19" s="9" t="s">
        <v>20</v>
      </c>
      <c r="B19" s="12" t="n">
        <f aca="false">B11*B12*B13</f>
        <v>120</v>
      </c>
      <c r="C19" s="13" t="s">
        <v>21</v>
      </c>
    </row>
    <row r="20" customFormat="false" ht="15" hidden="false" customHeight="false" outlineLevel="0" collapsed="false">
      <c r="A20" s="9" t="s">
        <v>22</v>
      </c>
      <c r="B20" s="12" t="n">
        <f aca="false">B19*B14*B15</f>
        <v>91.8</v>
      </c>
      <c r="C20" s="13" t="s">
        <v>21</v>
      </c>
    </row>
    <row r="21" customFormat="false" ht="15" hidden="false" customHeight="false" outlineLevel="0" collapsed="false">
      <c r="A21" s="9" t="s">
        <v>23</v>
      </c>
      <c r="B21" s="12" t="n">
        <f aca="false">B19*B14</f>
        <v>108</v>
      </c>
      <c r="C21" s="13" t="s">
        <v>21</v>
      </c>
    </row>
    <row r="24" customFormat="false" ht="15" hidden="false" customHeight="false" outlineLevel="0" collapsed="false">
      <c r="A24" s="9" t="s">
        <v>24</v>
      </c>
    </row>
    <row r="25" customFormat="false" ht="15" hidden="false" customHeight="false" outlineLevel="0" collapsed="false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</row>
    <row r="26" customFormat="false" ht="15" hidden="false" customHeight="false" outlineLevel="0" collapsed="false">
      <c r="A26" s="11" t="s">
        <v>33</v>
      </c>
      <c r="B26" s="11" t="n">
        <v>105</v>
      </c>
      <c r="C26" s="12" t="n">
        <f aca="false">B26-100</f>
        <v>5</v>
      </c>
      <c r="D26" s="11" t="n">
        <v>24</v>
      </c>
      <c r="E26" s="12" t="n">
        <f aca="false">$B$20/5</f>
        <v>18.36</v>
      </c>
      <c r="F26" s="12" t="n">
        <f aca="false">D26/E26</f>
        <v>1.30718954248366</v>
      </c>
      <c r="G26" s="12" t="n">
        <f aca="false">C26/F26</f>
        <v>3.825</v>
      </c>
    </row>
    <row r="27" customFormat="false" ht="15" hidden="false" customHeight="false" outlineLevel="0" collapsed="false">
      <c r="A27" s="11" t="s">
        <v>34</v>
      </c>
      <c r="B27" s="11" t="n">
        <v>110</v>
      </c>
      <c r="C27" s="12" t="n">
        <f aca="false">B27-100</f>
        <v>10</v>
      </c>
      <c r="D27" s="11" t="n">
        <v>16</v>
      </c>
      <c r="E27" s="12" t="n">
        <f aca="false">$B$20/5</f>
        <v>18.36</v>
      </c>
      <c r="F27" s="12" t="n">
        <f aca="false">D27/E27</f>
        <v>0.871459694989107</v>
      </c>
      <c r="G27" s="12" t="n">
        <f aca="false">C27/F27</f>
        <v>11.475</v>
      </c>
    </row>
    <row r="28" customFormat="false" ht="15" hidden="false" customHeight="false" outlineLevel="0" collapsed="false">
      <c r="A28" s="11" t="s">
        <v>35</v>
      </c>
      <c r="B28" s="11" t="n">
        <v>103</v>
      </c>
      <c r="C28" s="12" t="n">
        <f aca="false">B28-100</f>
        <v>3</v>
      </c>
      <c r="D28" s="11" t="n">
        <v>12</v>
      </c>
      <c r="E28" s="12" t="n">
        <f aca="false">$B$20/5</f>
        <v>18.36</v>
      </c>
      <c r="F28" s="12" t="n">
        <f aca="false">D28/E28</f>
        <v>0.65359477124183</v>
      </c>
      <c r="G28" s="12" t="n">
        <f aca="false">C28/F28</f>
        <v>4.59</v>
      </c>
    </row>
    <row r="29" customFormat="false" ht="15" hidden="false" customHeight="false" outlineLevel="0" collapsed="false">
      <c r="A29" s="11" t="s">
        <v>36</v>
      </c>
      <c r="B29" s="11" t="n">
        <v>115</v>
      </c>
      <c r="C29" s="12" t="n">
        <f aca="false">B29-100</f>
        <v>15</v>
      </c>
      <c r="D29" s="11" t="n">
        <v>40</v>
      </c>
      <c r="E29" s="12" t="n">
        <f aca="false">$B$20/5</f>
        <v>18.36</v>
      </c>
      <c r="F29" s="12" t="n">
        <f aca="false">D29/E29</f>
        <v>2.17864923747277</v>
      </c>
      <c r="G29" s="12" t="n">
        <f aca="false">C29/F29</f>
        <v>6.885</v>
      </c>
    </row>
    <row r="30" customFormat="false" ht="15" hidden="false" customHeight="false" outlineLevel="0" collapsed="false">
      <c r="A30" s="11" t="s">
        <v>9</v>
      </c>
      <c r="B30" s="11" t="n">
        <v>108</v>
      </c>
      <c r="C30" s="12" t="n">
        <f aca="false">B30-100</f>
        <v>8</v>
      </c>
      <c r="D30" s="11" t="n">
        <v>8</v>
      </c>
      <c r="E30" s="12" t="n">
        <f aca="false">$B$20/5</f>
        <v>18.36</v>
      </c>
      <c r="F30" s="12" t="n">
        <f aca="false">D30/E30</f>
        <v>0.435729847494553</v>
      </c>
      <c r="G30" s="12" t="n">
        <f aca="false">C30/F30</f>
        <v>18.36</v>
      </c>
    </row>
    <row r="33" customFormat="false" ht="15" hidden="false" customHeight="false" outlineLevel="0" collapsed="false">
      <c r="A33" s="9" t="s">
        <v>37</v>
      </c>
    </row>
    <row r="34" customFormat="false" ht="15" hidden="false" customHeight="false" outlineLevel="0" collapsed="false">
      <c r="A34" s="9" t="s">
        <v>38</v>
      </c>
    </row>
    <row r="35" customFormat="false" ht="15" hidden="false" customHeight="false" outlineLevel="0" collapsed="false">
      <c r="A35" s="13" t="s">
        <v>39</v>
      </c>
    </row>
    <row r="36" customFormat="false" ht="15" hidden="false" customHeight="false" outlineLevel="0" collapsed="false">
      <c r="A36" s="13" t="s">
        <v>40</v>
      </c>
    </row>
    <row r="39" customFormat="false" ht="15" hidden="false" customHeight="false" outlineLevel="0" collapsed="false">
      <c r="A39" s="9" t="s">
        <v>41</v>
      </c>
      <c r="C39" s="10" t="s">
        <v>42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1" customFormat="false" ht="15" hidden="false" customHeight="false" outlineLevel="0" collapsed="false">
      <c r="A41" s="14" t="s">
        <v>43</v>
      </c>
      <c r="B41" s="14"/>
      <c r="C41" s="14"/>
      <c r="D41" s="14"/>
      <c r="E41" s="14"/>
      <c r="F41" s="14"/>
      <c r="G41" s="9" t="s">
        <v>44</v>
      </c>
    </row>
    <row r="42" customFormat="false" ht="15" hidden="false" customHeight="false" outlineLevel="0" collapsed="false">
      <c r="A42" s="14" t="s">
        <v>45</v>
      </c>
      <c r="B42" s="14"/>
      <c r="C42" s="14"/>
      <c r="D42" s="14"/>
      <c r="E42" s="14"/>
      <c r="F42" s="14"/>
      <c r="G42" s="9" t="s">
        <v>44</v>
      </c>
    </row>
    <row r="43" customFormat="false" ht="15" hidden="false" customHeight="false" outlineLevel="0" collapsed="false">
      <c r="A43" s="14" t="s">
        <v>46</v>
      </c>
      <c r="B43" s="14"/>
      <c r="C43" s="14"/>
      <c r="D43" s="14"/>
      <c r="E43" s="14"/>
      <c r="F43" s="14"/>
      <c r="G43" s="9" t="s">
        <v>44</v>
      </c>
    </row>
    <row r="44" customFormat="false" ht="15" hidden="false" customHeight="false" outlineLevel="0" collapsed="false">
      <c r="A44" s="14" t="s">
        <v>47</v>
      </c>
      <c r="B44" s="14"/>
      <c r="C44" s="14"/>
      <c r="D44" s="14"/>
      <c r="E44" s="14"/>
      <c r="F44" s="14"/>
      <c r="G44" s="9" t="s">
        <v>44</v>
      </c>
    </row>
    <row r="45" customFormat="false" ht="15" hidden="false" customHeight="false" outlineLevel="0" collapsed="false">
      <c r="A45" s="14" t="s">
        <v>48</v>
      </c>
      <c r="B45" s="14"/>
      <c r="C45" s="14"/>
      <c r="D45" s="14"/>
      <c r="E45" s="14"/>
      <c r="F45" s="14"/>
      <c r="G45" s="9" t="s">
        <v>44</v>
      </c>
    </row>
    <row r="46" customFormat="false" ht="15" hidden="false" customHeight="false" outlineLevel="0" collapsed="false">
      <c r="A46" s="14" t="s">
        <v>49</v>
      </c>
      <c r="B46" s="14"/>
      <c r="C46" s="14"/>
      <c r="D46" s="14"/>
      <c r="E46" s="14"/>
      <c r="F46" s="14"/>
      <c r="G46" s="9" t="s">
        <v>44</v>
      </c>
    </row>
  </sheetData>
  <mergeCells count="23">
    <mergeCell ref="A1:N1"/>
    <mergeCell ref="A2:N2"/>
    <mergeCell ref="A3:N3"/>
    <mergeCell ref="A4:N4"/>
    <mergeCell ref="A6:I6"/>
    <mergeCell ref="K6:N6"/>
    <mergeCell ref="P6:R6"/>
    <mergeCell ref="K7:N7"/>
    <mergeCell ref="P7:R7"/>
    <mergeCell ref="K8:N8"/>
    <mergeCell ref="P8:Q8"/>
    <mergeCell ref="K9:N9"/>
    <mergeCell ref="P9:Q9"/>
    <mergeCell ref="C10:N10"/>
    <mergeCell ref="P10:Q10"/>
    <mergeCell ref="C18:N18"/>
    <mergeCell ref="C39:N39"/>
    <mergeCell ref="A41:F41"/>
    <mergeCell ref="A42:F42"/>
    <mergeCell ref="A43:F43"/>
    <mergeCell ref="A44:F44"/>
    <mergeCell ref="A45:F45"/>
    <mergeCell ref="A46:F4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