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7 - Forecast Error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<sst xmlns="http://schemas.openxmlformats.org/spreadsheetml/2006/main" count="108" uniqueCount="47">
  <si>
    <t xml:space="preserve">CASE 7: FORECAST ERROR METRICS &amp; TRACKING SIGNAL</t>
  </si>
  <si>
    <t xml:space="preserve">Calculation Worksheet</t>
  </si>
  <si>
    <t xml:space="preserve">SCENARIO: Analyze forecast performance and determine if the forecast model needs adjustment.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</si>
  <si>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</si>
  <si>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</si>
  <si>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</si>
  <si>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Measure forecast accuracy and detect bias.</t>
  </si>
  <si>
    <t xml:space="preserve">Self-check targets.</t>
  </si>
  <si>
    <t xml:space="preserve">Your task: Compute error, MAD, MAPE, cumulative error, and the tracking signal.</t>
  </si>
  <si>
    <t xml:space="preserve">MAD</t>
  </si>
  <si>
    <t xml:space="preserve">Approach: Error = Actual − Forecast; tracking signal = cumulative error ÷ MAD; |TS|&gt;4 means bias.</t>
  </si>
  <si>
    <t xml:space="preserve">MSE</t>
  </si>
  <si>
    <t xml:space="preserve">Period</t>
  </si>
  <si>
    <t xml:space="preserve">Forecast</t>
  </si>
  <si>
    <t xml:space="preserve">Actual</t>
  </si>
  <si>
    <t xml:space="preserve">Error (A-F)</t>
  </si>
  <si>
    <t xml:space="preserve">Abs Error</t>
  </si>
  <si>
    <t xml:space="preserve">|Error|/Actual</t>
  </si>
  <si>
    <t xml:space="preserve">Cumulative Error</t>
  </si>
  <si>
    <t xml:space="preserve">Cumulative |Error|</t>
  </si>
  <si>
    <t xml:space="preserve">Time: ~25 min   •   Fill the shaded input cells, then check the ANSWER KEY sheet only after you finish.</t>
  </si>
  <si>
    <t xml:space="preserve">MAPE</t>
  </si>
  <si>
    <t xml:space="preserve">Tracking Signal</t>
  </si>
  <si>
    <t xml:space="preserve">FORECAST ERROR METRICS</t>
  </si>
  <si>
    <t xml:space="preserve">Compute each metric in the green cells.</t>
  </si>
  <si>
    <t xml:space="preserve">Bias (MFE)</t>
  </si>
  <si>
    <t xml:space="preserve">Mean Forecast Error - indicates systematic over/under forecasting</t>
  </si>
  <si>
    <t xml:space="preserve">CFE</t>
  </si>
  <si>
    <t xml:space="preserve">Cumulative Forecast Error - sum of all errors</t>
  </si>
  <si>
    <t xml:space="preserve">Mean Absolute Deviation - average magnitude of error</t>
  </si>
  <si>
    <t xml:space="preserve">Mean Squared Error - penalizes large errors</t>
  </si>
  <si>
    <t xml:space="preserve">Mean Absolute Percentage Error (%)</t>
  </si>
  <si>
    <t xml:space="preserve">CFE / MAD - should stay within ±4</t>
  </si>
  <si>
    <t xml:space="preserve">TRACKING SIGNAL INTERPRETATION:</t>
  </si>
  <si>
    <t xml:space="preserve">Tracking Signal within ±4: Forecast model is acceptable</t>
  </si>
  <si>
    <t xml:space="preserve">Tracking Signal outside ±4: Investigate for bias - model may need adjustment</t>
  </si>
  <si>
    <t xml:space="preserve">EXAM-STYLE QUESTIONS:</t>
  </si>
  <si>
    <t xml:space="preserve">Answer using the results you computed above.</t>
  </si>
  <si>
    <t xml:space="preserve">Q1: What is the MAD for this forecast?</t>
  </si>
  <si>
    <t xml:space="preserve">Answer:</t>
  </si>
  <si>
    <t xml:space="preserve">Q2: What is the Tracking Signal? Is the forecast model acceptable?</t>
  </si>
  <si>
    <t xml:space="preserve">Q3: Is there evidence of systematic bias? (Look at MFE sign and magnitude)</t>
  </si>
  <si>
    <t xml:space="preserve">Q4: If MAD = 8 and CFE = 40, what is the Tracking Signal?</t>
  </si>
  <si>
    <t xml:space="preserve">Q5: The MAPE is 5%. Is this good forecast accuracy for consumer goods?</t>
  </si>
  <si>
    <t xml:space="preserve">Q6: Which metric would you use to compare forecasts across products with different scales?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</si>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</sst>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11" min="11" style="0" width="20"/>
    <col collapsed="false" customWidth="true" hidden="false" outlineLevel="0" max="16" min="16" style="0" width="24"/>
    <col collapsed="false" customWidth="true" hidden="false" outlineLevel="0" max="18" min="18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K6" s="1" t="s">
        <v>4</v>
      </c>
      <c r="L6" s="1"/>
      <c r="M6" s="1"/>
      <c r="N6" s="1"/>
      <c r="P6" s="1" t="s">
        <v>5</v>
      </c>
      <c r="Q6" s="1"/>
      <c r="R6" s="1"/>
    </row>
    <row r="7" customFormat="false" ht="15" hidden="false" customHeight="true" outlineLevel="0" collapsed="false">
      <c r="K7" s="5" t="s">
        <v>6</v>
      </c>
      <c r="L7" s="5"/>
      <c r="M7" s="5"/>
      <c r="N7" s="5"/>
      <c r="P7" s="6" t="s">
        <v>7</v>
      </c>
      <c r="Q7" s="6"/>
      <c r="R7" s="6"/>
    </row>
    <row r="8" customFormat="false" ht="23.85" hidden="false" customHeight="true" outlineLevel="0" collapsed="false">
      <c r="K8" s="5" t="s">
        <v>8</v>
      </c>
      <c r="L8" s="5"/>
      <c r="M8" s="5"/>
      <c r="N8" s="5"/>
      <c r="P8" s="7" t="s">
        <v>9</v>
      </c>
      <c r="Q8" s="7"/>
      <c r="R8" s="8" t="n">
        <v>5.5</v>
      </c>
    </row>
    <row r="9" customFormat="false" ht="23.85" hidden="false" customHeight="true" outlineLevel="0" collapsed="false">
      <c r="K9" s="5" t="s">
        <v>10</v>
      </c>
      <c r="L9" s="5"/>
      <c r="M9" s="5"/>
      <c r="N9" s="5"/>
      <c r="P9" s="7" t="s">
        <v>11</v>
      </c>
      <c r="Q9" s="7"/>
      <c r="R9" s="8" t="n">
        <v>43.25</v>
      </c>
    </row>
    <row r="10" customFormat="false" ht="23.85" hidden="false" customHeight="true" outlineLevel="0" collapsed="false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K10" s="5" t="s">
        <v>20</v>
      </c>
      <c r="L10" s="5"/>
      <c r="M10" s="5"/>
      <c r="N10" s="5"/>
      <c r="P10" s="7" t="s">
        <v>21</v>
      </c>
      <c r="Q10" s="7"/>
      <c r="R10" s="8" t="n">
        <v>4.4437</v>
      </c>
    </row>
    <row r="11" customFormat="false" ht="15" hidden="false" customHeight="false" outlineLevel="0" collapsed="false">
      <c r="A11" s="9" t="n">
        <v>1</v>
      </c>
      <c r="B11" s="9" t="n">
        <v>100</v>
      </c>
      <c r="C11" s="9" t="n">
        <v>105</v>
      </c>
      <c r="D11" s="10"/>
      <c r="E11" s="10"/>
      <c r="F11" s="10"/>
      <c r="G11" s="10"/>
      <c r="H11" s="10"/>
      <c r="P11" s="7" t="s">
        <v>22</v>
      </c>
      <c r="Q11" s="7"/>
      <c r="R11" s="8" t="n">
        <v>0.6012</v>
      </c>
    </row>
    <row r="12" customFormat="false" ht="15" hidden="false" customHeight="false" outlineLevel="0" collapsed="false">
      <c r="A12" s="9" t="n">
        <v>2</v>
      </c>
      <c r="B12" s="9" t="n">
        <v>110</v>
      </c>
      <c r="C12" s="9" t="n">
        <v>108</v>
      </c>
      <c r="D12" s="10"/>
      <c r="E12" s="10"/>
      <c r="F12" s="10"/>
      <c r="G12" s="10"/>
      <c r="H12" s="10"/>
    </row>
    <row r="13" customFormat="false" ht="15" hidden="false" customHeight="false" outlineLevel="0" collapsed="false">
      <c r="A13" s="9" t="n">
        <v>3</v>
      </c>
      <c r="B13" s="9" t="n">
        <v>105</v>
      </c>
      <c r="C13" s="9" t="n">
        <v>115</v>
      </c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9" t="n">
        <v>4</v>
      </c>
      <c r="B14" s="9" t="n">
        <v>115</v>
      </c>
      <c r="C14" s="9" t="n">
        <v>112</v>
      </c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9" t="n">
        <v>5</v>
      </c>
      <c r="B15" s="9" t="n">
        <v>120</v>
      </c>
      <c r="C15" s="9" t="n">
        <v>118</v>
      </c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9" t="n">
        <v>6</v>
      </c>
      <c r="B16" s="9" t="n">
        <v>125</v>
      </c>
      <c r="C16" s="9" t="n">
        <v>135</v>
      </c>
      <c r="D16" s="10"/>
      <c r="E16" s="10"/>
      <c r="F16" s="10"/>
      <c r="G16" s="10"/>
      <c r="H16" s="10"/>
    </row>
    <row r="17" customFormat="false" ht="15" hidden="false" customHeight="false" outlineLevel="0" collapsed="false">
      <c r="A17" s="9" t="n">
        <v>7</v>
      </c>
      <c r="B17" s="9" t="n">
        <v>130</v>
      </c>
      <c r="C17" s="9" t="n">
        <v>128</v>
      </c>
      <c r="D17" s="10"/>
      <c r="E17" s="10"/>
      <c r="F17" s="10"/>
      <c r="G17" s="10"/>
      <c r="H17" s="10"/>
    </row>
    <row r="18" customFormat="false" ht="15" hidden="false" customHeight="false" outlineLevel="0" collapsed="false">
      <c r="A18" s="9" t="n">
        <v>8</v>
      </c>
      <c r="B18" s="9" t="n">
        <v>135</v>
      </c>
      <c r="C18" s="9" t="n">
        <v>145</v>
      </c>
      <c r="D18" s="10"/>
      <c r="E18" s="10"/>
      <c r="F18" s="10"/>
      <c r="G18" s="10"/>
      <c r="H18" s="10"/>
    </row>
    <row r="21" customFormat="false" ht="15" hidden="false" customHeight="false" outlineLevel="0" collapsed="false">
      <c r="A21" s="11" t="s">
        <v>23</v>
      </c>
      <c r="C21" s="12" t="s">
        <v>24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customFormat="false" ht="15" hidden="false" customHeight="false" outlineLevel="0" collapsed="false">
      <c r="A22" s="11" t="s">
        <v>25</v>
      </c>
      <c r="B22" s="10"/>
      <c r="C22" s="13" t="s">
        <v>26</v>
      </c>
    </row>
    <row r="23" customFormat="false" ht="15" hidden="false" customHeight="false" outlineLevel="0" collapsed="false">
      <c r="A23" s="11" t="s">
        <v>27</v>
      </c>
      <c r="B23" s="10"/>
      <c r="C23" s="13" t="s">
        <v>28</v>
      </c>
    </row>
    <row r="24" customFormat="false" ht="15" hidden="false" customHeight="false" outlineLevel="0" collapsed="false">
      <c r="A24" s="11" t="s">
        <v>9</v>
      </c>
      <c r="B24" s="10"/>
      <c r="C24" s="13" t="s">
        <v>29</v>
      </c>
    </row>
    <row r="25" customFormat="false" ht="15" hidden="false" customHeight="false" outlineLevel="0" collapsed="false">
      <c r="A25" s="11" t="s">
        <v>11</v>
      </c>
      <c r="B25" s="10"/>
      <c r="C25" s="13" t="s">
        <v>30</v>
      </c>
    </row>
    <row r="26" customFormat="false" ht="15" hidden="false" customHeight="false" outlineLevel="0" collapsed="false">
      <c r="A26" s="11" t="s">
        <v>21</v>
      </c>
      <c r="B26" s="10"/>
      <c r="C26" s="13" t="s">
        <v>31</v>
      </c>
    </row>
    <row r="27" customFormat="false" ht="15" hidden="false" customHeight="false" outlineLevel="0" collapsed="false">
      <c r="A27" s="11" t="s">
        <v>22</v>
      </c>
      <c r="B27" s="10"/>
      <c r="C27" s="13" t="s">
        <v>32</v>
      </c>
    </row>
    <row r="30" customFormat="false" ht="15" hidden="false" customHeight="false" outlineLevel="0" collapsed="false">
      <c r="A30" s="11" t="s">
        <v>33</v>
      </c>
    </row>
    <row r="31" customFormat="false" ht="15" hidden="false" customHeight="false" outlineLevel="0" collapsed="false">
      <c r="A31" s="13" t="s">
        <v>34</v>
      </c>
    </row>
    <row r="32" customFormat="false" ht="15" hidden="false" customHeight="false" outlineLevel="0" collapsed="false">
      <c r="A32" s="11" t="s">
        <v>35</v>
      </c>
    </row>
    <row r="35" customFormat="false" ht="15" hidden="false" customHeight="false" outlineLevel="0" collapsed="false">
      <c r="A35" s="11" t="s">
        <v>36</v>
      </c>
      <c r="C35" s="12" t="s">
        <v>37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7" customFormat="false" ht="15" hidden="false" customHeight="false" outlineLevel="0" collapsed="false">
      <c r="A37" s="14" t="s">
        <v>38</v>
      </c>
      <c r="B37" s="14"/>
      <c r="C37" s="14"/>
      <c r="D37" s="14"/>
      <c r="E37" s="14"/>
      <c r="F37" s="11" t="s">
        <v>39</v>
      </c>
    </row>
    <row r="38" customFormat="false" ht="15" hidden="false" customHeight="false" outlineLevel="0" collapsed="false">
      <c r="A38" s="14" t="s">
        <v>40</v>
      </c>
      <c r="B38" s="14"/>
      <c r="C38" s="14"/>
      <c r="D38" s="14"/>
      <c r="E38" s="14"/>
      <c r="F38" s="11" t="s">
        <v>39</v>
      </c>
    </row>
    <row r="39" customFormat="false" ht="15" hidden="false" customHeight="false" outlineLevel="0" collapsed="false">
      <c r="A39" s="14" t="s">
        <v>41</v>
      </c>
      <c r="B39" s="14"/>
      <c r="C39" s="14"/>
      <c r="D39" s="14"/>
      <c r="E39" s="14"/>
      <c r="F39" s="11" t="s">
        <v>39</v>
      </c>
    </row>
    <row r="40" customFormat="false" ht="15" hidden="false" customHeight="false" outlineLevel="0" collapsed="false">
      <c r="A40" s="14" t="s">
        <v>42</v>
      </c>
      <c r="B40" s="14"/>
      <c r="C40" s="14"/>
      <c r="D40" s="14"/>
      <c r="E40" s="14"/>
      <c r="F40" s="11" t="s">
        <v>39</v>
      </c>
    </row>
    <row r="41" customFormat="false" ht="15" hidden="false" customHeight="false" outlineLevel="0" collapsed="false">
      <c r="A41" s="14" t="s">
        <v>43</v>
      </c>
      <c r="B41" s="14"/>
      <c r="C41" s="14"/>
      <c r="D41" s="14"/>
      <c r="E41" s="14"/>
      <c r="F41" s="11" t="s">
        <v>39</v>
      </c>
    </row>
    <row r="42" customFormat="false" ht="15" hidden="false" customHeight="false" outlineLevel="0" collapsed="false">
      <c r="A42" s="14" t="s">
        <v>44</v>
      </c>
      <c r="B42" s="14"/>
      <c r="C42" s="14"/>
      <c r="D42" s="14"/>
      <c r="E42" s="14"/>
      <c r="F42" s="11" t="s">
        <v>39</v>
      </c>
    </row>
  </sheetData>
  <mergeCells count="24">
    <mergeCell ref="A1:N1"/>
    <mergeCell ref="A2:N2"/>
    <mergeCell ref="A3:N3"/>
    <mergeCell ref="A4:N4"/>
    <mergeCell ref="A6:I6"/>
    <mergeCell ref="K6:N6"/>
    <mergeCell ref="P6:R6"/>
    <mergeCell ref="K7:N7"/>
    <mergeCell ref="P7:R7"/>
    <mergeCell ref="K8:N8"/>
    <mergeCell ref="P8:Q8"/>
    <mergeCell ref="K9:N9"/>
    <mergeCell ref="P9:Q9"/>
    <mergeCell ref="K10:N10"/>
    <mergeCell ref="P10:Q10"/>
    <mergeCell ref="P11:Q11"/>
    <mergeCell ref="C21:N21"/>
    <mergeCell ref="C35:N35"/>
    <mergeCell ref="A37:E37"/>
    <mergeCell ref="A38:E38"/>
    <mergeCell ref="A39:E39"/>
    <mergeCell ref="A40:E40"/>
    <mergeCell ref="A41:E41"/>
    <mergeCell ref="A42:E4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11" min="11" style="0" width="20"/>
    <col collapsed="false" customWidth="true" hidden="false" outlineLevel="0" max="16" min="16" style="0" width="24"/>
    <col collapsed="false" customWidth="true" hidden="false" outlineLevel="0" max="18" min="18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 t="s">
        <v>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K6" s="1" t="s">
        <v>4</v>
      </c>
      <c r="L6" s="1"/>
      <c r="M6" s="1"/>
      <c r="N6" s="1"/>
      <c r="P6" s="1" t="s">
        <v>5</v>
      </c>
      <c r="Q6" s="1"/>
      <c r="R6" s="1"/>
    </row>
    <row r="7" customFormat="false" ht="15" hidden="false" customHeight="true" outlineLevel="0" collapsed="false">
      <c r="K7" s="5" t="s">
        <v>6</v>
      </c>
      <c r="L7" s="5"/>
      <c r="M7" s="5"/>
      <c r="N7" s="5"/>
      <c r="P7" s="6" t="s">
        <v>7</v>
      </c>
      <c r="Q7" s="6"/>
      <c r="R7" s="6"/>
    </row>
    <row r="8" customFormat="false" ht="23.85" hidden="false" customHeight="true" outlineLevel="0" collapsed="false">
      <c r="K8" s="5" t="s">
        <v>8</v>
      </c>
      <c r="L8" s="5"/>
      <c r="M8" s="5"/>
      <c r="N8" s="5"/>
      <c r="P8" s="7" t="s">
        <v>9</v>
      </c>
      <c r="Q8" s="7"/>
      <c r="R8" s="8" t="n">
        <v>5.5</v>
      </c>
    </row>
    <row r="9" customFormat="false" ht="23.85" hidden="false" customHeight="true" outlineLevel="0" collapsed="false">
      <c r="K9" s="5" t="s">
        <v>10</v>
      </c>
      <c r="L9" s="5"/>
      <c r="M9" s="5"/>
      <c r="N9" s="5"/>
      <c r="P9" s="7" t="s">
        <v>11</v>
      </c>
      <c r="Q9" s="7"/>
      <c r="R9" s="8" t="n">
        <v>43.25</v>
      </c>
    </row>
    <row r="10" customFormat="false" ht="23.85" hidden="false" customHeight="true" outlineLevel="0" collapsed="false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K10" s="5" t="s">
        <v>20</v>
      </c>
      <c r="L10" s="5"/>
      <c r="M10" s="5"/>
      <c r="N10" s="5"/>
      <c r="P10" s="7" t="s">
        <v>21</v>
      </c>
      <c r="Q10" s="7"/>
      <c r="R10" s="8" t="n">
        <v>4.4437</v>
      </c>
    </row>
    <row r="11" customFormat="false" ht="15" hidden="false" customHeight="false" outlineLevel="0" collapsed="false">
      <c r="A11" s="9" t="n">
        <v>1</v>
      </c>
      <c r="B11" s="9" t="n">
        <v>100</v>
      </c>
      <c r="C11" s="9" t="n">
        <v>105</v>
      </c>
      <c r="D11" s="10" t="n">
        <f aca="false">C11-B11</f>
        <v>5</v>
      </c>
      <c r="E11" s="10" t="n">
        <f aca="false">ABS(D11)</f>
        <v>5</v>
      </c>
      <c r="F11" s="10" t="n">
        <f aca="false">E11/C11</f>
        <v>0.0476190476190476</v>
      </c>
      <c r="G11" s="10" t="n">
        <f aca="false">D11</f>
        <v>5</v>
      </c>
      <c r="H11" s="10" t="n">
        <f aca="false">E11</f>
        <v>5</v>
      </c>
      <c r="P11" s="7" t="s">
        <v>22</v>
      </c>
      <c r="Q11" s="7"/>
      <c r="R11" s="8" t="n">
        <v>0.6012</v>
      </c>
    </row>
    <row r="12" customFormat="false" ht="15" hidden="false" customHeight="false" outlineLevel="0" collapsed="false">
      <c r="A12" s="9" t="n">
        <v>2</v>
      </c>
      <c r="B12" s="9" t="n">
        <v>110</v>
      </c>
      <c r="C12" s="9" t="n">
        <v>108</v>
      </c>
      <c r="D12" s="10" t="n">
        <f aca="false">C12-B12</f>
        <v>-2</v>
      </c>
      <c r="E12" s="10" t="n">
        <f aca="false">ABS(D12)</f>
        <v>2</v>
      </c>
      <c r="F12" s="10" t="n">
        <f aca="false">E12/C12</f>
        <v>0.0185185185185185</v>
      </c>
      <c r="G12" s="10" t="n">
        <f aca="false">G11+D12</f>
        <v>3</v>
      </c>
      <c r="H12" s="10" t="n">
        <f aca="false">H11+E12</f>
        <v>7</v>
      </c>
    </row>
    <row r="13" customFormat="false" ht="15" hidden="false" customHeight="false" outlineLevel="0" collapsed="false">
      <c r="A13" s="9" t="n">
        <v>3</v>
      </c>
      <c r="B13" s="9" t="n">
        <v>105</v>
      </c>
      <c r="C13" s="9" t="n">
        <v>115</v>
      </c>
      <c r="D13" s="10" t="n">
        <f aca="false">C13-B13</f>
        <v>10</v>
      </c>
      <c r="E13" s="10" t="n">
        <f aca="false">ABS(D13)</f>
        <v>10</v>
      </c>
      <c r="F13" s="10" t="n">
        <f aca="false">E13/C13</f>
        <v>0.0869565217391304</v>
      </c>
      <c r="G13" s="10" t="n">
        <f aca="false">G12+D13</f>
        <v>13</v>
      </c>
      <c r="H13" s="10" t="n">
        <f aca="false">H12+E13</f>
        <v>17</v>
      </c>
    </row>
    <row r="14" customFormat="false" ht="15" hidden="false" customHeight="false" outlineLevel="0" collapsed="false">
      <c r="A14" s="9" t="n">
        <v>4</v>
      </c>
      <c r="B14" s="9" t="n">
        <v>115</v>
      </c>
      <c r="C14" s="9" t="n">
        <v>112</v>
      </c>
      <c r="D14" s="10" t="n">
        <f aca="false">C14-B14</f>
        <v>-3</v>
      </c>
      <c r="E14" s="10" t="n">
        <f aca="false">ABS(D14)</f>
        <v>3</v>
      </c>
      <c r="F14" s="10" t="n">
        <f aca="false">E14/C14</f>
        <v>0.0267857142857143</v>
      </c>
      <c r="G14" s="10" t="n">
        <f aca="false">G13+D14</f>
        <v>10</v>
      </c>
      <c r="H14" s="10" t="n">
        <f aca="false">H13+E14</f>
        <v>20</v>
      </c>
    </row>
    <row r="15" customFormat="false" ht="15" hidden="false" customHeight="false" outlineLevel="0" collapsed="false">
      <c r="A15" s="9" t="n">
        <v>5</v>
      </c>
      <c r="B15" s="9" t="n">
        <v>120</v>
      </c>
      <c r="C15" s="9" t="n">
        <v>118</v>
      </c>
      <c r="D15" s="10" t="n">
        <f aca="false">C15-B15</f>
        <v>-2</v>
      </c>
      <c r="E15" s="10" t="n">
        <f aca="false">ABS(D15)</f>
        <v>2</v>
      </c>
      <c r="F15" s="10" t="n">
        <f aca="false">E15/C15</f>
        <v>0.0169491525423729</v>
      </c>
      <c r="G15" s="10" t="n">
        <f aca="false">G14+D15</f>
        <v>8</v>
      </c>
      <c r="H15" s="10" t="n">
        <f aca="false">H14+E15</f>
        <v>22</v>
      </c>
    </row>
    <row r="16" customFormat="false" ht="15" hidden="false" customHeight="false" outlineLevel="0" collapsed="false">
      <c r="A16" s="9" t="n">
        <v>6</v>
      </c>
      <c r="B16" s="9" t="n">
        <v>125</v>
      </c>
      <c r="C16" s="9" t="n">
        <v>135</v>
      </c>
      <c r="D16" s="10" t="n">
        <f aca="false">C16-B16</f>
        <v>10</v>
      </c>
      <c r="E16" s="10" t="n">
        <f aca="false">ABS(D16)</f>
        <v>10</v>
      </c>
      <c r="F16" s="10" t="n">
        <f aca="false">E16/C16</f>
        <v>0.0740740740740741</v>
      </c>
      <c r="G16" s="10" t="n">
        <f aca="false">G15+D16</f>
        <v>18</v>
      </c>
      <c r="H16" s="10" t="n">
        <f aca="false">H15+E16</f>
        <v>32</v>
      </c>
    </row>
    <row r="17" customFormat="false" ht="15" hidden="false" customHeight="false" outlineLevel="0" collapsed="false">
      <c r="A17" s="9" t="n">
        <v>7</v>
      </c>
      <c r="B17" s="9" t="n">
        <v>130</v>
      </c>
      <c r="C17" s="9" t="n">
        <v>128</v>
      </c>
      <c r="D17" s="10" t="n">
        <f aca="false">C17-B17</f>
        <v>-2</v>
      </c>
      <c r="E17" s="10" t="n">
        <f aca="false">ABS(D17)</f>
        <v>2</v>
      </c>
      <c r="F17" s="10" t="n">
        <f aca="false">E17/C17</f>
        <v>0.015625</v>
      </c>
      <c r="G17" s="10" t="n">
        <f aca="false">G16+D17</f>
        <v>16</v>
      </c>
      <c r="H17" s="10" t="n">
        <f aca="false">H16+E17</f>
        <v>34</v>
      </c>
    </row>
    <row r="18" customFormat="false" ht="15" hidden="false" customHeight="false" outlineLevel="0" collapsed="false">
      <c r="A18" s="9" t="n">
        <v>8</v>
      </c>
      <c r="B18" s="9" t="n">
        <v>135</v>
      </c>
      <c r="C18" s="9" t="n">
        <v>145</v>
      </c>
      <c r="D18" s="10" t="n">
        <f aca="false">C18-B18</f>
        <v>10</v>
      </c>
      <c r="E18" s="10" t="n">
        <f aca="false">ABS(D18)</f>
        <v>10</v>
      </c>
      <c r="F18" s="10" t="n">
        <f aca="false">E18/C18</f>
        <v>0.0689655172413793</v>
      </c>
      <c r="G18" s="10" t="n">
        <f aca="false">G17+D18</f>
        <v>26</v>
      </c>
      <c r="H18" s="10" t="n">
        <f aca="false">H17+E18</f>
        <v>44</v>
      </c>
    </row>
    <row r="21" customFormat="false" ht="15" hidden="false" customHeight="false" outlineLevel="0" collapsed="false">
      <c r="A21" s="11" t="s">
        <v>23</v>
      </c>
      <c r="C21" s="12" t="s">
        <v>24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customFormat="false" ht="15" hidden="false" customHeight="false" outlineLevel="0" collapsed="false">
      <c r="A22" s="11" t="s">
        <v>25</v>
      </c>
      <c r="B22" s="10" t="n">
        <f aca="false">AVERAGE(D11:D18)</f>
        <v>3.25</v>
      </c>
      <c r="C22" s="13" t="s">
        <v>26</v>
      </c>
    </row>
    <row r="23" customFormat="false" ht="15" hidden="false" customHeight="false" outlineLevel="0" collapsed="false">
      <c r="A23" s="11" t="s">
        <v>27</v>
      </c>
      <c r="B23" s="10" t="n">
        <f aca="false">G18</f>
        <v>26</v>
      </c>
      <c r="C23" s="13" t="s">
        <v>28</v>
      </c>
    </row>
    <row r="24" customFormat="false" ht="15" hidden="false" customHeight="false" outlineLevel="0" collapsed="false">
      <c r="A24" s="11" t="s">
        <v>9</v>
      </c>
      <c r="B24" s="10" t="n">
        <f aca="false">AVERAGE(E11:E18)</f>
        <v>5.5</v>
      </c>
      <c r="C24" s="13" t="s">
        <v>29</v>
      </c>
    </row>
    <row r="25" customFormat="false" ht="15" hidden="false" customHeight="false" outlineLevel="0" collapsed="false">
      <c r="A25" s="11" t="s">
        <v>11</v>
      </c>
      <c r="B25" s="10" t="n">
        <f aca="false">SUMPRODUCT(D11:D18,D11:D18)/8</f>
        <v>43.25</v>
      </c>
      <c r="C25" s="13" t="s">
        <v>30</v>
      </c>
    </row>
    <row r="26" customFormat="false" ht="15" hidden="false" customHeight="false" outlineLevel="0" collapsed="false">
      <c r="A26" s="11" t="s">
        <v>21</v>
      </c>
      <c r="B26" s="10" t="n">
        <f aca="false">AVERAGE(F11:F18)*100</f>
        <v>4.44366932525296</v>
      </c>
      <c r="C26" s="13" t="s">
        <v>31</v>
      </c>
    </row>
    <row r="27" customFormat="false" ht="15" hidden="false" customHeight="false" outlineLevel="0" collapsed="false">
      <c r="A27" s="11" t="s">
        <v>22</v>
      </c>
      <c r="B27" s="10" t="n">
        <f aca="false">G18/B25</f>
        <v>0.601156069364162</v>
      </c>
      <c r="C27" s="13" t="s">
        <v>32</v>
      </c>
    </row>
    <row r="30" customFormat="false" ht="15" hidden="false" customHeight="false" outlineLevel="0" collapsed="false">
      <c r="A30" s="11" t="s">
        <v>33</v>
      </c>
    </row>
    <row r="31" customFormat="false" ht="15" hidden="false" customHeight="false" outlineLevel="0" collapsed="false">
      <c r="A31" s="13" t="s">
        <v>34</v>
      </c>
    </row>
    <row r="32" customFormat="false" ht="15" hidden="false" customHeight="false" outlineLevel="0" collapsed="false">
      <c r="A32" s="11" t="s">
        <v>35</v>
      </c>
    </row>
    <row r="35" customFormat="false" ht="15" hidden="false" customHeight="false" outlineLevel="0" collapsed="false">
      <c r="A35" s="11" t="s">
        <v>36</v>
      </c>
      <c r="C35" s="12" t="s">
        <v>37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7" customFormat="false" ht="15" hidden="false" customHeight="false" outlineLevel="0" collapsed="false">
      <c r="A37" s="14" t="s">
        <v>38</v>
      </c>
      <c r="B37" s="14"/>
      <c r="C37" s="14"/>
      <c r="D37" s="14"/>
      <c r="E37" s="14"/>
      <c r="F37" s="11" t="s">
        <v>39</v>
      </c>
    </row>
    <row r="38" customFormat="false" ht="15" hidden="false" customHeight="false" outlineLevel="0" collapsed="false">
      <c r="A38" s="14" t="s">
        <v>40</v>
      </c>
      <c r="B38" s="14"/>
      <c r="C38" s="14"/>
      <c r="D38" s="14"/>
      <c r="E38" s="14"/>
      <c r="F38" s="11" t="s">
        <v>39</v>
      </c>
    </row>
    <row r="39" customFormat="false" ht="15" hidden="false" customHeight="false" outlineLevel="0" collapsed="false">
      <c r="A39" s="14" t="s">
        <v>41</v>
      </c>
      <c r="B39" s="14"/>
      <c r="C39" s="14"/>
      <c r="D39" s="14"/>
      <c r="E39" s="14"/>
      <c r="F39" s="11" t="s">
        <v>39</v>
      </c>
    </row>
    <row r="40" customFormat="false" ht="15" hidden="false" customHeight="false" outlineLevel="0" collapsed="false">
      <c r="A40" s="14" t="s">
        <v>42</v>
      </c>
      <c r="B40" s="14"/>
      <c r="C40" s="14"/>
      <c r="D40" s="14"/>
      <c r="E40" s="14"/>
      <c r="F40" s="11" t="s">
        <v>39</v>
      </c>
    </row>
    <row r="41" customFormat="false" ht="15" hidden="false" customHeight="false" outlineLevel="0" collapsed="false">
      <c r="A41" s="14" t="s">
        <v>43</v>
      </c>
      <c r="B41" s="14"/>
      <c r="C41" s="14"/>
      <c r="D41" s="14"/>
      <c r="E41" s="14"/>
      <c r="F41" s="11" t="s">
        <v>39</v>
      </c>
    </row>
    <row r="42" customFormat="false" ht="15" hidden="false" customHeight="false" outlineLevel="0" collapsed="false">
      <c r="A42" s="14" t="s">
        <v>44</v>
      </c>
      <c r="B42" s="14"/>
      <c r="C42" s="14"/>
      <c r="D42" s="14"/>
      <c r="E42" s="14"/>
      <c r="F42" s="11" t="s">
        <v>39</v>
      </c>
    </row>
  </sheetData>
  <mergeCells count="24">
    <mergeCell ref="A1:N1"/>
    <mergeCell ref="A2:N2"/>
    <mergeCell ref="A3:N3"/>
    <mergeCell ref="A4:N4"/>
    <mergeCell ref="A6:I6"/>
    <mergeCell ref="K6:N6"/>
    <mergeCell ref="P6:R6"/>
    <mergeCell ref="K7:N7"/>
    <mergeCell ref="P7:R7"/>
    <mergeCell ref="K8:N8"/>
    <mergeCell ref="P8:Q8"/>
    <mergeCell ref="K9:N9"/>
    <mergeCell ref="P9:Q9"/>
    <mergeCell ref="K10:N10"/>
    <mergeCell ref="P10:Q10"/>
    <mergeCell ref="P11:Q11"/>
    <mergeCell ref="C21:N21"/>
    <mergeCell ref="C35:N35"/>
    <mergeCell ref="A37:E37"/>
    <mergeCell ref="A38:E38"/>
    <mergeCell ref="A39:E39"/>
    <mergeCell ref="A40:E40"/>
    <mergeCell ref="A41:E41"/>
    <mergeCell ref="A42:E4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