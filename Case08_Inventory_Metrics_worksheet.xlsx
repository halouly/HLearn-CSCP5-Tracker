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8 - Inventory Metrics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<sst xmlns="http://schemas.openxmlformats.org/spreadsheetml/2006/main" count="156" uniqueCount="63">
  <si>
    <t xml:space="preserve">CASE 8: INVENTORY PERFORMANCE METRICS — TURNS, DAYS OF SUPPLY, CARRYING COST</t>
  </si>
  <si>
    <t xml:space="preserve">Calculation Worksheet</t>
  </si>
  <si>
    <t xml:space="preserve">SCENARIO: Analyze inventory performance for a distribution center with 3 product categories.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</si>
  <si>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</si>
  <si>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</si>
  <si>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</si>
  <si>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Compute the core inventory performance KPIs.</t>
  </si>
  <si>
    <t xml:space="preserve">Self-check targets.</t>
  </si>
  <si>
    <t xml:space="preserve">Your task: Calculate inventory turnover, days of supply, and record accuracy.</t>
  </si>
  <si>
    <t xml:space="preserve">Carrying Cost Savings</t>
  </si>
  <si>
    <t xml:space="preserve">Calculate key inventory metrics and identify improvement opportunities.</t>
  </si>
  <si>
    <t xml:space="preserve">Approach: Turns = COGS ÷ average inventory; days of supply = 365 ÷ turns.</t>
  </si>
  <si>
    <t xml:space="preserve">Time: ~20 min   •   Fill the shaded input cells, then check the ANSWER KEY sheet only after you finish.</t>
  </si>
  <si>
    <t xml:space="preserve">FINANCIAL DATA (Annual)</t>
  </si>
  <si>
    <t xml:space="preserve">Given values (blue) — do not change.</t>
  </si>
  <si>
    <t xml:space="preserve">Product A</t>
  </si>
  <si>
    <t xml:space="preserve">Product B</t>
  </si>
  <si>
    <t xml:space="preserve">Product C</t>
  </si>
  <si>
    <t xml:space="preserve">Total</t>
  </si>
  <si>
    <t xml:space="preserve">Cost of Goods Sold</t>
  </si>
  <si>
    <t xml:space="preserve">Beginning Inventory</t>
  </si>
  <si>
    <t xml:space="preserve">Ending Inventory</t>
  </si>
  <si>
    <t xml:space="preserve">Average Inventory</t>
  </si>
  <si>
    <t xml:space="preserve">Unit Cost</t>
  </si>
  <si>
    <t xml:space="preserve">INVENTORY PERFORMANCE CALCULATIONS</t>
  </si>
  <si>
    <t xml:space="preserve">Work each green cell using the formula shown.</t>
  </si>
  <si>
    <t xml:space="preserve">Total/Avg</t>
  </si>
  <si>
    <t xml:space="preserve">Inventory Turns</t>
  </si>
  <si>
    <t xml:space="preserve">Days of Supply</t>
  </si>
  <si>
    <t xml:space="preserve">CARRYING COST ANALYSIS</t>
  </si>
  <si>
    <t xml:space="preserve">Evaluate each row; fill the green cells.</t>
  </si>
  <si>
    <t xml:space="preserve">Carrying Cost Components:</t>
  </si>
  <si>
    <t xml:space="preserve">Rate</t>
  </si>
  <si>
    <t xml:space="preserve">  Capital Cost (opportunity cost)</t>
  </si>
  <si>
    <t xml:space="preserve">12%</t>
  </si>
  <si>
    <t xml:space="preserve">  Storage Cost</t>
  </si>
  <si>
    <t xml:space="preserve">4%</t>
  </si>
  <si>
    <t xml:space="preserve">  Insurance</t>
  </si>
  <si>
    <t xml:space="preserve">2%</t>
  </si>
  <si>
    <t xml:space="preserve">  Obsolescence/Shrinkage</t>
  </si>
  <si>
    <t xml:space="preserve">6%</t>
  </si>
  <si>
    <t xml:space="preserve">  Total Carrying Cost Rate</t>
  </si>
  <si>
    <t xml:space="preserve">Annual Carrying Cost by Product:</t>
  </si>
  <si>
    <t xml:space="preserve">Avg Inventory Value</t>
  </si>
  <si>
    <t xml:space="preserve">Carrying Cost Rate</t>
  </si>
  <si>
    <t xml:space="preserve">Annual Carrying Cost ($)</t>
  </si>
  <si>
    <t xml:space="preserve">Carrying Cost per Unit</t>
  </si>
  <si>
    <t xml:space="preserve">IMPROVEMENT SCENARIO: What if we improve turns by 20%?</t>
  </si>
  <si>
    <t xml:space="preserve">Current Turns</t>
  </si>
  <si>
    <t xml:space="preserve">Target Turns (+20%)</t>
  </si>
  <si>
    <t xml:space="preserve">New Avg Inventory</t>
  </si>
  <si>
    <t xml:space="preserve">Inventory Reduction</t>
  </si>
  <si>
    <t xml:space="preserve">EXAM-STYLE QUESTIONS:</t>
  </si>
  <si>
    <t xml:space="preserve">Answer using the results you computed above.</t>
  </si>
  <si>
    <t xml:space="preserve">Q1: What is the Inventory Turns for Product A?</t>
  </si>
  <si>
    <t xml:space="preserve">Answer:</t>
  </si>
  <si>
    <t xml:space="preserve">Q2: What is the Days of Supply for Product B?</t>
  </si>
  <si>
    <t xml:space="preserve">Q3: What is the total annual carrying cost for all products?</t>
  </si>
  <si>
    <t xml:space="preserve">Q4: If Product C's COGS increases 50% with same avg inventory, what happens to turns?</t>
  </si>
  <si>
    <t xml:space="preserve">Q5: Which product has the WORST inventory performance? Why?</t>
  </si>
  <si>
    <t xml:space="preserve">Q6: How much total carrying cost savings from 20% turns improvement?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</si>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</sst>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4"/>
    <col collapsed="false" customWidth="true" hidden="false" outlineLevel="0" max="6" min="6" style="0" width="12"/>
    <col collapsed="false" customWidth="true" hidden="false" outlineLevel="0" max="8" min="8" style="0" width="20"/>
    <col collapsed="false" customWidth="true" hidden="false" outlineLevel="0" max="13" min="13" style="0" width="24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6" customFormat="false" ht="15" hidden="false" customHeight="false" outlineLevel="0" collapsed="false">
      <c r="H6" s="1" t="s">
        <v>4</v>
      </c>
      <c r="I6" s="1"/>
      <c r="J6" s="1"/>
      <c r="K6" s="1"/>
      <c r="M6" s="1" t="s">
        <v>5</v>
      </c>
      <c r="N6" s="1"/>
      <c r="O6" s="1"/>
    </row>
    <row r="7" customFormat="false" ht="23.85" hidden="false" customHeight="true" outlineLevel="0" collapsed="false">
      <c r="H7" s="4" t="s">
        <v>6</v>
      </c>
      <c r="I7" s="4"/>
      <c r="J7" s="4"/>
      <c r="K7" s="4"/>
      <c r="M7" s="5" t="s">
        <v>7</v>
      </c>
      <c r="N7" s="5"/>
      <c r="O7" s="5"/>
    </row>
    <row r="8" customFormat="false" ht="23.85" hidden="false" customHeight="true" outlineLevel="0" collapsed="false">
      <c r="H8" s="4" t="s">
        <v>8</v>
      </c>
      <c r="I8" s="4"/>
      <c r="J8" s="4"/>
      <c r="K8" s="4"/>
      <c r="M8" s="6" t="s">
        <v>9</v>
      </c>
      <c r="N8" s="6"/>
      <c r="O8" s="7" t="n">
        <v>0</v>
      </c>
    </row>
    <row r="9" customFormat="false" ht="23.85" hidden="false" customHeight="true" outlineLevel="0" collapsed="false">
      <c r="A9" s="8" t="s">
        <v>10</v>
      </c>
      <c r="H9" s="4" t="s">
        <v>11</v>
      </c>
      <c r="I9" s="4"/>
      <c r="J9" s="4"/>
      <c r="K9" s="4"/>
    </row>
    <row r="10" customFormat="false" ht="23.85" hidden="false" customHeight="true" outlineLevel="0" collapsed="false">
      <c r="H10" s="4" t="s">
        <v>12</v>
      </c>
      <c r="I10" s="4"/>
      <c r="J10" s="4"/>
      <c r="K10" s="4"/>
    </row>
    <row r="11" customFormat="false" ht="15" hidden="false" customHeight="false" outlineLevel="0" collapsed="false">
      <c r="A11" s="9" t="s">
        <v>13</v>
      </c>
      <c r="C11" s="10" t="s">
        <v>14</v>
      </c>
      <c r="D11" s="10"/>
      <c r="E11" s="10"/>
      <c r="F11" s="10"/>
      <c r="G11" s="10"/>
      <c r="H11" s="10"/>
      <c r="I11" s="10"/>
      <c r="J11" s="10"/>
      <c r="K11" s="10"/>
    </row>
    <row r="12" customFormat="false" ht="15" hidden="false" customHeight="false" outlineLevel="0" collapsed="false">
      <c r="B12" s="9" t="s">
        <v>15</v>
      </c>
      <c r="C12" s="9" t="s">
        <v>16</v>
      </c>
      <c r="D12" s="9" t="s">
        <v>17</v>
      </c>
      <c r="E12" s="9" t="s">
        <v>18</v>
      </c>
    </row>
    <row r="13" customFormat="false" ht="15" hidden="false" customHeight="false" outlineLevel="0" collapsed="false">
      <c r="A13" s="8" t="s">
        <v>19</v>
      </c>
      <c r="B13" s="8" t="n">
        <v>2400000</v>
      </c>
      <c r="C13" s="8" t="n">
        <v>1800000</v>
      </c>
      <c r="D13" s="8" t="n">
        <v>600000</v>
      </c>
      <c r="E13" s="11"/>
    </row>
    <row r="14" customFormat="false" ht="15" hidden="false" customHeight="false" outlineLevel="0" collapsed="false">
      <c r="A14" s="8" t="s">
        <v>20</v>
      </c>
      <c r="B14" s="8" t="n">
        <v>180000</v>
      </c>
      <c r="C14" s="8" t="n">
        <v>250000</v>
      </c>
      <c r="D14" s="8" t="n">
        <v>120000</v>
      </c>
      <c r="E14" s="11"/>
    </row>
    <row r="15" customFormat="false" ht="15" hidden="false" customHeight="false" outlineLevel="0" collapsed="false">
      <c r="A15" s="8" t="s">
        <v>21</v>
      </c>
      <c r="B15" s="8" t="n">
        <v>220000</v>
      </c>
      <c r="C15" s="8" t="n">
        <v>200000</v>
      </c>
      <c r="D15" s="8" t="n">
        <v>80000</v>
      </c>
      <c r="E15" s="11"/>
    </row>
    <row r="16" customFormat="false" ht="15" hidden="false" customHeight="false" outlineLevel="0" collapsed="false">
      <c r="A16" s="8" t="s">
        <v>22</v>
      </c>
      <c r="B16" s="11"/>
      <c r="C16" s="11"/>
      <c r="D16" s="11"/>
      <c r="E16" s="11"/>
    </row>
    <row r="17" customFormat="false" ht="15" hidden="false" customHeight="false" outlineLevel="0" collapsed="false">
      <c r="A17" s="8" t="s">
        <v>23</v>
      </c>
      <c r="B17" s="8" t="n">
        <v>50</v>
      </c>
      <c r="C17" s="8" t="n">
        <v>75</v>
      </c>
      <c r="D17" s="8" t="n">
        <v>20</v>
      </c>
    </row>
    <row r="20" customFormat="false" ht="15" hidden="false" customHeight="false" outlineLevel="0" collapsed="false">
      <c r="A20" s="9" t="s">
        <v>24</v>
      </c>
      <c r="C20" s="10" t="s">
        <v>25</v>
      </c>
      <c r="D20" s="10"/>
      <c r="E20" s="10"/>
      <c r="F20" s="10"/>
      <c r="G20" s="10"/>
      <c r="H20" s="10"/>
      <c r="I20" s="10"/>
      <c r="J20" s="10"/>
      <c r="K20" s="10"/>
    </row>
    <row r="21" customFormat="false" ht="15" hidden="false" customHeight="false" outlineLevel="0" collapsed="false">
      <c r="B21" s="9" t="s">
        <v>15</v>
      </c>
      <c r="C21" s="9" t="s">
        <v>16</v>
      </c>
      <c r="D21" s="9" t="s">
        <v>17</v>
      </c>
      <c r="E21" s="9" t="s">
        <v>26</v>
      </c>
    </row>
    <row r="22" customFormat="false" ht="15" hidden="false" customHeight="false" outlineLevel="0" collapsed="false">
      <c r="A22" s="8" t="s">
        <v>27</v>
      </c>
      <c r="B22" s="11"/>
      <c r="C22" s="11"/>
      <c r="D22" s="11"/>
      <c r="E22" s="11"/>
    </row>
    <row r="23" customFormat="false" ht="15" hidden="false" customHeight="false" outlineLevel="0" collapsed="false">
      <c r="A23" s="8" t="s">
        <v>28</v>
      </c>
      <c r="B23" s="11"/>
      <c r="C23" s="11"/>
      <c r="D23" s="11"/>
      <c r="E23" s="11"/>
    </row>
    <row r="26" customFormat="false" ht="15" hidden="false" customHeight="false" outlineLevel="0" collapsed="false">
      <c r="A26" s="9" t="s">
        <v>29</v>
      </c>
      <c r="C26" s="10" t="s">
        <v>30</v>
      </c>
      <c r="D26" s="10"/>
      <c r="E26" s="10"/>
      <c r="F26" s="10"/>
      <c r="G26" s="10"/>
      <c r="H26" s="10"/>
      <c r="I26" s="10"/>
      <c r="J26" s="10"/>
      <c r="K26" s="10"/>
    </row>
    <row r="27" customFormat="false" ht="15" hidden="false" customHeight="false" outlineLevel="0" collapsed="false">
      <c r="A27" s="8" t="s">
        <v>31</v>
      </c>
      <c r="C27" s="8" t="s">
        <v>32</v>
      </c>
    </row>
    <row r="28" customFormat="false" ht="15" hidden="false" customHeight="false" outlineLevel="0" collapsed="false">
      <c r="A28" s="8" t="s">
        <v>33</v>
      </c>
      <c r="C28" s="8" t="s">
        <v>34</v>
      </c>
    </row>
    <row r="29" customFormat="false" ht="15" hidden="false" customHeight="false" outlineLevel="0" collapsed="false">
      <c r="A29" s="8" t="s">
        <v>35</v>
      </c>
      <c r="C29" s="8" t="s">
        <v>36</v>
      </c>
    </row>
    <row r="30" customFormat="false" ht="15" hidden="false" customHeight="false" outlineLevel="0" collapsed="false">
      <c r="A30" s="8" t="s">
        <v>37</v>
      </c>
      <c r="C30" s="8" t="s">
        <v>38</v>
      </c>
    </row>
    <row r="31" customFormat="false" ht="15" hidden="false" customHeight="false" outlineLevel="0" collapsed="false">
      <c r="A31" s="8" t="s">
        <v>39</v>
      </c>
      <c r="C31" s="8" t="s">
        <v>40</v>
      </c>
    </row>
    <row r="32" customFormat="false" ht="15" hidden="false" customHeight="false" outlineLevel="0" collapsed="false">
      <c r="A32" s="8" t="s">
        <v>41</v>
      </c>
      <c r="C32" s="11"/>
    </row>
    <row r="34" customFormat="false" ht="15" hidden="false" customHeight="false" outlineLevel="0" collapsed="false">
      <c r="A34" s="8" t="s">
        <v>42</v>
      </c>
    </row>
    <row r="35" customFormat="false" ht="15" hidden="false" customHeight="false" outlineLevel="0" collapsed="false">
      <c r="B35" s="9" t="s">
        <v>15</v>
      </c>
      <c r="C35" s="9" t="s">
        <v>16</v>
      </c>
      <c r="D35" s="9" t="s">
        <v>17</v>
      </c>
      <c r="E35" s="9" t="s">
        <v>18</v>
      </c>
    </row>
    <row r="36" customFormat="false" ht="15" hidden="false" customHeight="false" outlineLevel="0" collapsed="false">
      <c r="A36" s="8" t="s">
        <v>43</v>
      </c>
      <c r="B36" s="11"/>
      <c r="C36" s="11"/>
      <c r="D36" s="11"/>
      <c r="E36" s="11"/>
    </row>
    <row r="37" customFormat="false" ht="15" hidden="false" customHeight="false" outlineLevel="0" collapsed="false">
      <c r="A37" s="8" t="s">
        <v>44</v>
      </c>
      <c r="B37" s="11"/>
      <c r="C37" s="11"/>
      <c r="D37" s="11"/>
    </row>
    <row r="38" customFormat="false" ht="15" hidden="false" customHeight="false" outlineLevel="0" collapsed="false">
      <c r="A38" s="8" t="s">
        <v>45</v>
      </c>
      <c r="B38" s="11"/>
      <c r="C38" s="11"/>
      <c r="D38" s="11"/>
      <c r="E38" s="11"/>
    </row>
    <row r="39" customFormat="false" ht="15" hidden="false" customHeight="false" outlineLevel="0" collapsed="false">
      <c r="A39" s="8" t="s">
        <v>46</v>
      </c>
      <c r="B39" s="11"/>
      <c r="C39" s="11"/>
      <c r="D39" s="11"/>
    </row>
    <row r="42" customFormat="false" ht="15" hidden="false" customHeight="false" outlineLevel="0" collapsed="false">
      <c r="A42" s="9" t="s">
        <v>47</v>
      </c>
    </row>
    <row r="43" customFormat="false" ht="15" hidden="false" customHeight="false" outlineLevel="0" collapsed="false">
      <c r="B43" s="9" t="s">
        <v>15</v>
      </c>
      <c r="C43" s="9" t="s">
        <v>16</v>
      </c>
      <c r="D43" s="9" t="s">
        <v>17</v>
      </c>
      <c r="E43" s="9" t="s">
        <v>18</v>
      </c>
    </row>
    <row r="44" customFormat="false" ht="15" hidden="false" customHeight="false" outlineLevel="0" collapsed="false">
      <c r="A44" s="8" t="s">
        <v>48</v>
      </c>
      <c r="B44" s="11"/>
      <c r="C44" s="11"/>
      <c r="D44" s="11"/>
      <c r="E44" s="11"/>
    </row>
    <row r="45" customFormat="false" ht="15" hidden="false" customHeight="false" outlineLevel="0" collapsed="false">
      <c r="A45" s="8" t="s">
        <v>49</v>
      </c>
      <c r="B45" s="11"/>
      <c r="C45" s="11"/>
      <c r="D45" s="11"/>
      <c r="E45" s="11"/>
    </row>
    <row r="46" customFormat="false" ht="15" hidden="false" customHeight="false" outlineLevel="0" collapsed="false">
      <c r="A46" s="8" t="s">
        <v>50</v>
      </c>
      <c r="B46" s="11"/>
      <c r="C46" s="11"/>
      <c r="D46" s="11"/>
      <c r="E46" s="11"/>
    </row>
    <row r="47" customFormat="false" ht="15" hidden="false" customHeight="false" outlineLevel="0" collapsed="false">
      <c r="A47" s="8" t="s">
        <v>51</v>
      </c>
      <c r="B47" s="11"/>
      <c r="C47" s="11"/>
      <c r="D47" s="11"/>
      <c r="E47" s="11"/>
    </row>
    <row r="48" customFormat="false" ht="15" hidden="false" customHeight="false" outlineLevel="0" collapsed="false">
      <c r="A48" s="8" t="s">
        <v>9</v>
      </c>
      <c r="B48" s="11"/>
      <c r="C48" s="11"/>
      <c r="D48" s="11"/>
      <c r="E48" s="11"/>
    </row>
    <row r="51" customFormat="false" ht="15" hidden="false" customHeight="false" outlineLevel="0" collapsed="false">
      <c r="A51" s="9" t="s">
        <v>52</v>
      </c>
      <c r="C51" s="10" t="s">
        <v>53</v>
      </c>
      <c r="D51" s="10"/>
      <c r="E51" s="10"/>
      <c r="F51" s="10"/>
      <c r="G51" s="10"/>
      <c r="H51" s="10"/>
      <c r="I51" s="10"/>
      <c r="J51" s="10"/>
      <c r="K51" s="10"/>
    </row>
    <row r="53" customFormat="false" ht="15" hidden="false" customHeight="false" outlineLevel="0" collapsed="false">
      <c r="A53" s="8" t="s">
        <v>54</v>
      </c>
      <c r="F53" s="8" t="s">
        <v>55</v>
      </c>
    </row>
    <row r="54" customFormat="false" ht="15" hidden="false" customHeight="false" outlineLevel="0" collapsed="false">
      <c r="A54" s="8" t="s">
        <v>56</v>
      </c>
      <c r="F54" s="8" t="s">
        <v>55</v>
      </c>
    </row>
    <row r="55" customFormat="false" ht="15" hidden="false" customHeight="false" outlineLevel="0" collapsed="false">
      <c r="A55" s="8" t="s">
        <v>57</v>
      </c>
      <c r="F55" s="8" t="s">
        <v>55</v>
      </c>
    </row>
    <row r="56" customFormat="false" ht="15" hidden="false" customHeight="false" outlineLevel="0" collapsed="false">
      <c r="A56" s="8" t="s">
        <v>58</v>
      </c>
      <c r="F56" s="8" t="s">
        <v>55</v>
      </c>
    </row>
    <row r="57" customFormat="false" ht="15" hidden="false" customHeight="false" outlineLevel="0" collapsed="false">
      <c r="A57" s="8" t="s">
        <v>59</v>
      </c>
      <c r="F57" s="8" t="s">
        <v>55</v>
      </c>
    </row>
    <row r="58" customFormat="false" ht="15" hidden="false" customHeight="false" outlineLevel="0" collapsed="false">
      <c r="A58" s="8" t="s">
        <v>60</v>
      </c>
      <c r="F58" s="8" t="s">
        <v>55</v>
      </c>
    </row>
  </sheetData>
  <mergeCells count="16">
    <mergeCell ref="A1:K1"/>
    <mergeCell ref="A2:K2"/>
    <mergeCell ref="A3:K3"/>
    <mergeCell ref="A4:K4"/>
    <mergeCell ref="H6:K6"/>
    <mergeCell ref="M6:O6"/>
    <mergeCell ref="H7:K7"/>
    <mergeCell ref="M7:O7"/>
    <mergeCell ref="H8:K8"/>
    <mergeCell ref="M8:N8"/>
    <mergeCell ref="H9:K9"/>
    <mergeCell ref="H10:K10"/>
    <mergeCell ref="C11:K11"/>
    <mergeCell ref="C20:K20"/>
    <mergeCell ref="C26:K26"/>
    <mergeCell ref="C51:K51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4"/>
    <col collapsed="false" customWidth="true" hidden="false" outlineLevel="0" max="6" min="6" style="0" width="12"/>
    <col collapsed="false" customWidth="true" hidden="false" outlineLevel="0" max="8" min="8" style="0" width="20"/>
    <col collapsed="false" customWidth="true" hidden="false" outlineLevel="0" max="13" min="13" style="0" width="24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 t="s">
        <v>61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true" outlineLevel="0" collapsed="false">
      <c r="A4" s="3" t="s">
        <v>62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6" customFormat="false" ht="15" hidden="false" customHeight="false" outlineLevel="0" collapsed="false">
      <c r="H6" s="1" t="s">
        <v>4</v>
      </c>
      <c r="I6" s="1"/>
      <c r="J6" s="1"/>
      <c r="K6" s="1"/>
      <c r="M6" s="1" t="s">
        <v>5</v>
      </c>
      <c r="N6" s="1"/>
      <c r="O6" s="1"/>
    </row>
    <row r="7" customFormat="false" ht="23.85" hidden="false" customHeight="true" outlineLevel="0" collapsed="false">
      <c r="H7" s="4" t="s">
        <v>6</v>
      </c>
      <c r="I7" s="4"/>
      <c r="J7" s="4"/>
      <c r="K7" s="4"/>
      <c r="M7" s="5" t="s">
        <v>7</v>
      </c>
      <c r="N7" s="5"/>
      <c r="O7" s="5"/>
    </row>
    <row r="8" customFormat="false" ht="23.85" hidden="false" customHeight="true" outlineLevel="0" collapsed="false">
      <c r="H8" s="4" t="s">
        <v>8</v>
      </c>
      <c r="I8" s="4"/>
      <c r="J8" s="4"/>
      <c r="K8" s="4"/>
      <c r="M8" s="6" t="s">
        <v>9</v>
      </c>
      <c r="N8" s="6"/>
      <c r="O8" s="7" t="n">
        <v>0</v>
      </c>
    </row>
    <row r="9" customFormat="false" ht="23.85" hidden="false" customHeight="true" outlineLevel="0" collapsed="false">
      <c r="A9" s="8" t="s">
        <v>10</v>
      </c>
      <c r="H9" s="4" t="s">
        <v>11</v>
      </c>
      <c r="I9" s="4"/>
      <c r="J9" s="4"/>
      <c r="K9" s="4"/>
    </row>
    <row r="10" customFormat="false" ht="23.85" hidden="false" customHeight="true" outlineLevel="0" collapsed="false">
      <c r="H10" s="4" t="s">
        <v>12</v>
      </c>
      <c r="I10" s="4"/>
      <c r="J10" s="4"/>
      <c r="K10" s="4"/>
    </row>
    <row r="11" customFormat="false" ht="15" hidden="false" customHeight="false" outlineLevel="0" collapsed="false">
      <c r="A11" s="9" t="s">
        <v>13</v>
      </c>
      <c r="C11" s="10" t="s">
        <v>14</v>
      </c>
      <c r="D11" s="10"/>
      <c r="E11" s="10"/>
      <c r="F11" s="10"/>
      <c r="G11" s="10"/>
      <c r="H11" s="10"/>
      <c r="I11" s="10"/>
      <c r="J11" s="10"/>
      <c r="K11" s="10"/>
    </row>
    <row r="12" customFormat="false" ht="15" hidden="false" customHeight="false" outlineLevel="0" collapsed="false">
      <c r="B12" s="9" t="s">
        <v>15</v>
      </c>
      <c r="C12" s="9" t="s">
        <v>16</v>
      </c>
      <c r="D12" s="9" t="s">
        <v>17</v>
      </c>
      <c r="E12" s="9" t="s">
        <v>18</v>
      </c>
    </row>
    <row r="13" customFormat="false" ht="15" hidden="false" customHeight="false" outlineLevel="0" collapsed="false">
      <c r="A13" s="8" t="s">
        <v>19</v>
      </c>
      <c r="B13" s="8" t="n">
        <v>2400000</v>
      </c>
      <c r="C13" s="8" t="n">
        <v>1800000</v>
      </c>
      <c r="D13" s="8" t="n">
        <v>600000</v>
      </c>
      <c r="E13" s="11" t="n">
        <f aca="false">SUM(B13:D13)</f>
        <v>4800000</v>
      </c>
    </row>
    <row r="14" customFormat="false" ht="15" hidden="false" customHeight="false" outlineLevel="0" collapsed="false">
      <c r="A14" s="8" t="s">
        <v>20</v>
      </c>
      <c r="B14" s="8" t="n">
        <v>180000</v>
      </c>
      <c r="C14" s="8" t="n">
        <v>250000</v>
      </c>
      <c r="D14" s="8" t="n">
        <v>120000</v>
      </c>
      <c r="E14" s="11" t="n">
        <f aca="false">SUM(B14:D14)</f>
        <v>550000</v>
      </c>
    </row>
    <row r="15" customFormat="false" ht="15" hidden="false" customHeight="false" outlineLevel="0" collapsed="false">
      <c r="A15" s="8" t="s">
        <v>21</v>
      </c>
      <c r="B15" s="8" t="n">
        <v>220000</v>
      </c>
      <c r="C15" s="8" t="n">
        <v>200000</v>
      </c>
      <c r="D15" s="8" t="n">
        <v>80000</v>
      </c>
      <c r="E15" s="11" t="n">
        <f aca="false">SUM(B15:D15)</f>
        <v>500000</v>
      </c>
    </row>
    <row r="16" customFormat="false" ht="15" hidden="false" customHeight="false" outlineLevel="0" collapsed="false">
      <c r="A16" s="8" t="s">
        <v>22</v>
      </c>
      <c r="B16" s="11" t="n">
        <f aca="false">(B14+B15)/2</f>
        <v>200000</v>
      </c>
      <c r="C16" s="11" t="n">
        <f aca="false">(C14+C15)/2</f>
        <v>225000</v>
      </c>
      <c r="D16" s="11" t="n">
        <f aca="false">(D14+D15)/2</f>
        <v>100000</v>
      </c>
      <c r="E16" s="11" t="n">
        <f aca="false">SUM(B16:D16)</f>
        <v>525000</v>
      </c>
    </row>
    <row r="17" customFormat="false" ht="15" hidden="false" customHeight="false" outlineLevel="0" collapsed="false">
      <c r="A17" s="8" t="s">
        <v>23</v>
      </c>
      <c r="B17" s="8" t="n">
        <v>50</v>
      </c>
      <c r="C17" s="8" t="n">
        <v>75</v>
      </c>
      <c r="D17" s="8" t="n">
        <v>20</v>
      </c>
    </row>
    <row r="20" customFormat="false" ht="15" hidden="false" customHeight="false" outlineLevel="0" collapsed="false">
      <c r="A20" s="9" t="s">
        <v>24</v>
      </c>
      <c r="C20" s="10" t="s">
        <v>25</v>
      </c>
      <c r="D20" s="10"/>
      <c r="E20" s="10"/>
      <c r="F20" s="10"/>
      <c r="G20" s="10"/>
      <c r="H20" s="10"/>
      <c r="I20" s="10"/>
      <c r="J20" s="10"/>
      <c r="K20" s="10"/>
    </row>
    <row r="21" customFormat="false" ht="15" hidden="false" customHeight="false" outlineLevel="0" collapsed="false">
      <c r="B21" s="9" t="s">
        <v>15</v>
      </c>
      <c r="C21" s="9" t="s">
        <v>16</v>
      </c>
      <c r="D21" s="9" t="s">
        <v>17</v>
      </c>
      <c r="E21" s="9" t="s">
        <v>26</v>
      </c>
    </row>
    <row r="22" customFormat="false" ht="15" hidden="false" customHeight="false" outlineLevel="0" collapsed="false">
      <c r="A22" s="8" t="s">
        <v>27</v>
      </c>
      <c r="B22" s="11" t="n">
        <f aca="false">B13/B16</f>
        <v>12</v>
      </c>
      <c r="C22" s="11" t="n">
        <f aca="false">C13/C16</f>
        <v>8</v>
      </c>
      <c r="D22" s="11" t="n">
        <f aca="false">D13/D16</f>
        <v>6</v>
      </c>
      <c r="E22" s="11" t="n">
        <f aca="false">E13/E16</f>
        <v>9.14285714285714</v>
      </c>
    </row>
    <row r="23" customFormat="false" ht="15" hidden="false" customHeight="false" outlineLevel="0" collapsed="false">
      <c r="A23" s="8" t="s">
        <v>28</v>
      </c>
      <c r="B23" s="11" t="n">
        <f aca="false">365/B22</f>
        <v>30.4166666666667</v>
      </c>
      <c r="C23" s="11" t="n">
        <f aca="false">365/C22</f>
        <v>45.625</v>
      </c>
      <c r="D23" s="11" t="n">
        <f aca="false">365/D22</f>
        <v>60.8333333333333</v>
      </c>
      <c r="E23" s="11" t="n">
        <f aca="false">365/E22</f>
        <v>39.921875</v>
      </c>
    </row>
    <row r="26" customFormat="false" ht="15" hidden="false" customHeight="false" outlineLevel="0" collapsed="false">
      <c r="A26" s="9" t="s">
        <v>29</v>
      </c>
      <c r="C26" s="10" t="s">
        <v>30</v>
      </c>
      <c r="D26" s="10"/>
      <c r="E26" s="10"/>
      <c r="F26" s="10"/>
      <c r="G26" s="10"/>
      <c r="H26" s="10"/>
      <c r="I26" s="10"/>
      <c r="J26" s="10"/>
      <c r="K26" s="10"/>
    </row>
    <row r="27" customFormat="false" ht="15" hidden="false" customHeight="false" outlineLevel="0" collapsed="false">
      <c r="A27" s="8" t="s">
        <v>31</v>
      </c>
      <c r="C27" s="8" t="s">
        <v>32</v>
      </c>
    </row>
    <row r="28" customFormat="false" ht="15" hidden="false" customHeight="false" outlineLevel="0" collapsed="false">
      <c r="A28" s="8" t="s">
        <v>33</v>
      </c>
      <c r="C28" s="8" t="s">
        <v>34</v>
      </c>
    </row>
    <row r="29" customFormat="false" ht="15" hidden="false" customHeight="false" outlineLevel="0" collapsed="false">
      <c r="A29" s="8" t="s">
        <v>35</v>
      </c>
      <c r="C29" s="8" t="s">
        <v>36</v>
      </c>
    </row>
    <row r="30" customFormat="false" ht="15" hidden="false" customHeight="false" outlineLevel="0" collapsed="false">
      <c r="A30" s="8" t="s">
        <v>37</v>
      </c>
      <c r="C30" s="8" t="s">
        <v>38</v>
      </c>
    </row>
    <row r="31" customFormat="false" ht="15" hidden="false" customHeight="false" outlineLevel="0" collapsed="false">
      <c r="A31" s="8" t="s">
        <v>39</v>
      </c>
      <c r="C31" s="8" t="s">
        <v>40</v>
      </c>
    </row>
    <row r="32" customFormat="false" ht="15" hidden="false" customHeight="false" outlineLevel="0" collapsed="false">
      <c r="A32" s="8" t="s">
        <v>41</v>
      </c>
      <c r="C32" s="11" t="n">
        <f aca="false">SUM(C28:C31)</f>
        <v>0</v>
      </c>
    </row>
    <row r="34" customFormat="false" ht="15" hidden="false" customHeight="false" outlineLevel="0" collapsed="false">
      <c r="A34" s="8" t="s">
        <v>42</v>
      </c>
    </row>
    <row r="35" customFormat="false" ht="15" hidden="false" customHeight="false" outlineLevel="0" collapsed="false">
      <c r="B35" s="9" t="s">
        <v>15</v>
      </c>
      <c r="C35" s="9" t="s">
        <v>16</v>
      </c>
      <c r="D35" s="9" t="s">
        <v>17</v>
      </c>
      <c r="E35" s="9" t="s">
        <v>18</v>
      </c>
    </row>
    <row r="36" customFormat="false" ht="15" hidden="false" customHeight="false" outlineLevel="0" collapsed="false">
      <c r="A36" s="8" t="s">
        <v>43</v>
      </c>
      <c r="B36" s="11" t="n">
        <f aca="false">B16</f>
        <v>200000</v>
      </c>
      <c r="C36" s="11" t="n">
        <f aca="false">C16</f>
        <v>225000</v>
      </c>
      <c r="D36" s="11" t="n">
        <f aca="false">D16</f>
        <v>100000</v>
      </c>
      <c r="E36" s="11" t="n">
        <f aca="false">E16</f>
        <v>525000</v>
      </c>
    </row>
    <row r="37" customFormat="false" ht="15" hidden="false" customHeight="false" outlineLevel="0" collapsed="false">
      <c r="A37" s="8" t="s">
        <v>44</v>
      </c>
      <c r="B37" s="11" t="n">
        <f aca="false">$C$32</f>
        <v>0</v>
      </c>
      <c r="C37" s="11" t="n">
        <f aca="false">$C$32</f>
        <v>0</v>
      </c>
      <c r="D37" s="11" t="n">
        <f aca="false">$C$32</f>
        <v>0</v>
      </c>
    </row>
    <row r="38" customFormat="false" ht="15" hidden="false" customHeight="false" outlineLevel="0" collapsed="false">
      <c r="A38" s="8" t="s">
        <v>45</v>
      </c>
      <c r="B38" s="11" t="n">
        <f aca="false">B36*B37</f>
        <v>0</v>
      </c>
      <c r="C38" s="11" t="n">
        <f aca="false">C36*C37</f>
        <v>0</v>
      </c>
      <c r="D38" s="11" t="n">
        <f aca="false">D36*D37</f>
        <v>0</v>
      </c>
      <c r="E38" s="11" t="n">
        <f aca="false">SUM(B38:D38)</f>
        <v>0</v>
      </c>
    </row>
    <row r="39" customFormat="false" ht="15" hidden="false" customHeight="false" outlineLevel="0" collapsed="false">
      <c r="A39" s="8" t="s">
        <v>46</v>
      </c>
      <c r="B39" s="11" t="n">
        <f aca="false">B38/(B13/B17)</f>
        <v>0</v>
      </c>
      <c r="C39" s="11" t="n">
        <f aca="false">C38/(C13/C17)</f>
        <v>0</v>
      </c>
      <c r="D39" s="11" t="n">
        <f aca="false">D38/(D13/D17)</f>
        <v>0</v>
      </c>
    </row>
    <row r="42" customFormat="false" ht="15" hidden="false" customHeight="false" outlineLevel="0" collapsed="false">
      <c r="A42" s="9" t="s">
        <v>47</v>
      </c>
    </row>
    <row r="43" customFormat="false" ht="15" hidden="false" customHeight="false" outlineLevel="0" collapsed="false">
      <c r="B43" s="9" t="s">
        <v>15</v>
      </c>
      <c r="C43" s="9" t="s">
        <v>16</v>
      </c>
      <c r="D43" s="9" t="s">
        <v>17</v>
      </c>
      <c r="E43" s="9" t="s">
        <v>18</v>
      </c>
    </row>
    <row r="44" customFormat="false" ht="15" hidden="false" customHeight="false" outlineLevel="0" collapsed="false">
      <c r="A44" s="8" t="s">
        <v>48</v>
      </c>
      <c r="B44" s="11" t="n">
        <f aca="false">B22</f>
        <v>12</v>
      </c>
      <c r="C44" s="11" t="n">
        <f aca="false">C22</f>
        <v>8</v>
      </c>
      <c r="D44" s="11" t="n">
        <f aca="false">D22</f>
        <v>6</v>
      </c>
      <c r="E44" s="11" t="n">
        <f aca="false">E22</f>
        <v>9.14285714285714</v>
      </c>
    </row>
    <row r="45" customFormat="false" ht="15" hidden="false" customHeight="false" outlineLevel="0" collapsed="false">
      <c r="A45" s="8" t="s">
        <v>49</v>
      </c>
      <c r="B45" s="11" t="n">
        <f aca="false">B44*1.2</f>
        <v>14.4</v>
      </c>
      <c r="C45" s="11" t="n">
        <f aca="false">C44*1.2</f>
        <v>9.6</v>
      </c>
      <c r="D45" s="11" t="n">
        <f aca="false">D44*1.2</f>
        <v>7.2</v>
      </c>
      <c r="E45" s="11" t="n">
        <f aca="false">E44*1.2</f>
        <v>10.9714285714286</v>
      </c>
    </row>
    <row r="46" customFormat="false" ht="15" hidden="false" customHeight="false" outlineLevel="0" collapsed="false">
      <c r="A46" s="8" t="s">
        <v>50</v>
      </c>
      <c r="B46" s="11" t="n">
        <f aca="false">B13/B45</f>
        <v>166666.666666667</v>
      </c>
      <c r="C46" s="11" t="n">
        <f aca="false">C13/C45</f>
        <v>187500</v>
      </c>
      <c r="D46" s="11" t="n">
        <f aca="false">D13/D45</f>
        <v>83333.3333333333</v>
      </c>
      <c r="E46" s="11" t="n">
        <f aca="false">SUM(B46:D46)</f>
        <v>437500</v>
      </c>
    </row>
    <row r="47" customFormat="false" ht="15" hidden="false" customHeight="false" outlineLevel="0" collapsed="false">
      <c r="A47" s="8" t="s">
        <v>51</v>
      </c>
      <c r="B47" s="11" t="n">
        <f aca="false">B16-B46</f>
        <v>33333.3333333333</v>
      </c>
      <c r="C47" s="11" t="n">
        <f aca="false">C16-C46</f>
        <v>37500</v>
      </c>
      <c r="D47" s="11" t="n">
        <f aca="false">D16-D46</f>
        <v>16666.6666666667</v>
      </c>
      <c r="E47" s="11" t="n">
        <f aca="false">SUM(B47:D47)</f>
        <v>87500</v>
      </c>
    </row>
    <row r="48" customFormat="false" ht="15" hidden="false" customHeight="false" outlineLevel="0" collapsed="false">
      <c r="A48" s="8" t="s">
        <v>9</v>
      </c>
      <c r="B48" s="11" t="n">
        <f aca="false">B47*$C$32</f>
        <v>0</v>
      </c>
      <c r="C48" s="11" t="n">
        <f aca="false">C47*$C$32</f>
        <v>0</v>
      </c>
      <c r="D48" s="11" t="n">
        <f aca="false">D47*$C$32</f>
        <v>0</v>
      </c>
      <c r="E48" s="11" t="n">
        <f aca="false">SUM(B48:D48)</f>
        <v>0</v>
      </c>
    </row>
    <row r="51" customFormat="false" ht="15" hidden="false" customHeight="false" outlineLevel="0" collapsed="false">
      <c r="A51" s="9" t="s">
        <v>52</v>
      </c>
      <c r="C51" s="10" t="s">
        <v>53</v>
      </c>
      <c r="D51" s="10"/>
      <c r="E51" s="10"/>
      <c r="F51" s="10"/>
      <c r="G51" s="10"/>
      <c r="H51" s="10"/>
      <c r="I51" s="10"/>
      <c r="J51" s="10"/>
      <c r="K51" s="10"/>
    </row>
    <row r="53" customFormat="false" ht="15" hidden="false" customHeight="false" outlineLevel="0" collapsed="false">
      <c r="A53" s="8" t="s">
        <v>54</v>
      </c>
      <c r="F53" s="8" t="s">
        <v>55</v>
      </c>
    </row>
    <row r="54" customFormat="false" ht="15" hidden="false" customHeight="false" outlineLevel="0" collapsed="false">
      <c r="A54" s="8" t="s">
        <v>56</v>
      </c>
      <c r="F54" s="8" t="s">
        <v>55</v>
      </c>
    </row>
    <row r="55" customFormat="false" ht="15" hidden="false" customHeight="false" outlineLevel="0" collapsed="false">
      <c r="A55" s="8" t="s">
        <v>57</v>
      </c>
      <c r="F55" s="8" t="s">
        <v>55</v>
      </c>
    </row>
    <row r="56" customFormat="false" ht="15" hidden="false" customHeight="false" outlineLevel="0" collapsed="false">
      <c r="A56" s="8" t="s">
        <v>58</v>
      </c>
      <c r="F56" s="8" t="s">
        <v>55</v>
      </c>
    </row>
    <row r="57" customFormat="false" ht="15" hidden="false" customHeight="false" outlineLevel="0" collapsed="false">
      <c r="A57" s="8" t="s">
        <v>59</v>
      </c>
      <c r="F57" s="8" t="s">
        <v>55</v>
      </c>
    </row>
    <row r="58" customFormat="false" ht="15" hidden="false" customHeight="false" outlineLevel="0" collapsed="false">
      <c r="A58" s="8" t="s">
        <v>60</v>
      </c>
      <c r="F58" s="8" t="s">
        <v>55</v>
      </c>
    </row>
  </sheetData>
  <mergeCells count="16">
    <mergeCell ref="A1:K1"/>
    <mergeCell ref="A2:K2"/>
    <mergeCell ref="A3:K3"/>
    <mergeCell ref="A4:K4"/>
    <mergeCell ref="H6:K6"/>
    <mergeCell ref="M6:O6"/>
    <mergeCell ref="H7:K7"/>
    <mergeCell ref="M7:O7"/>
    <mergeCell ref="H8:K8"/>
    <mergeCell ref="M8:N8"/>
    <mergeCell ref="H9:K9"/>
    <mergeCell ref="H10:K10"/>
    <mergeCell ref="C11:K11"/>
    <mergeCell ref="C20:K20"/>
    <mergeCell ref="C26:K26"/>
    <mergeCell ref="C51:K51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