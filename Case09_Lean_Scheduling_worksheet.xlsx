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9 - Lean Scheduling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<sst xmlns="http://schemas.openxmlformats.org/spreadsheetml/2006/main" count="192" uniqueCount="87">
  <si>
    <t xml:space="preserve">CASE 9: LEAN SCHEDULING — TAKT TIME, CYCLE TIME, THROUGHPUT TIME, LOAD</t>
  </si>
  <si>
    <t xml:space="preserve">Calculation Worksheet</t>
  </si>
  <si>
    <t xml:space="preserve">SCENARIO: A manufacturing cell produces electronic assemblies. Analyze production timing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</si>
  <si>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</si>
  <si>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</si>
  <si>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</si>
  <si>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Analyze production timing and work-center load to find the bottleneck (CPIM focus).</t>
  </si>
  <si>
    <t xml:space="preserve">Self-check targets.</t>
  </si>
  <si>
    <t xml:space="preserve">Your task: Compute takt time, cycle time per operator, the throughput-time mix, and work-center load %.</t>
  </si>
  <si>
    <t xml:space="preserve">Job A</t>
  </si>
  <si>
    <t xml:space="preserve">and work center loading to identify bottlenecks and improvement opportunities.</t>
  </si>
  <si>
    <t xml:space="preserve">Approach: Takt = available time / demand; a station whose cycle-per-operator exceeds takt is the bottleneck.</t>
  </si>
  <si>
    <t xml:space="preserve">Time: ~25 min   •   Fill the shaded input cells, then check the ANSWER KEY sheet only after you finish.</t>
  </si>
  <si>
    <t xml:space="preserve">PRODUCTION REQUIREMENTS</t>
  </si>
  <si>
    <t xml:space="preserve">Customer Demand per Day</t>
  </si>
  <si>
    <t xml:space="preserve">units</t>
  </si>
  <si>
    <t xml:space="preserve">Available Production Time</t>
  </si>
  <si>
    <t xml:space="preserve">minutes (8 hrs × 60)</t>
  </si>
  <si>
    <t xml:space="preserve">Number of Shifts</t>
  </si>
  <si>
    <t xml:space="preserve">TAKT TIME CALCULATION</t>
  </si>
  <si>
    <t xml:space="preserve">Work each green cell using the formula shown.</t>
  </si>
  <si>
    <t xml:space="preserve">Formula: Takt Time = Available Time / Demand</t>
  </si>
  <si>
    <t xml:space="preserve">minutes</t>
  </si>
  <si>
    <t xml:space="preserve">Customer Demand</t>
  </si>
  <si>
    <t xml:space="preserve">TAKT TIME</t>
  </si>
  <si>
    <t xml:space="preserve">minutes/unit</t>
  </si>
  <si>
    <t xml:space="preserve">Interpretation: Must complete 1 unit every ___ minute(s) to meet demand.</t>
  </si>
  <si>
    <t xml:space="preserve">CYCLE TIME BY WORKSTATION</t>
  </si>
  <si>
    <t xml:space="preserve">Workstation</t>
  </si>
  <si>
    <t xml:space="preserve">Process</t>
  </si>
  <si>
    <t xml:space="preserve">Cycle Time (min)</t>
  </si>
  <si>
    <t xml:space="preserve">Operators</t>
  </si>
  <si>
    <t xml:space="preserve">Cycle/Operator</t>
  </si>
  <si>
    <t xml:space="preserve">WS-1</t>
  </si>
  <si>
    <t xml:space="preserve">Component Prep</t>
  </si>
  <si>
    <t xml:space="preserve">WS-2</t>
  </si>
  <si>
    <t xml:space="preserve">Assembly</t>
  </si>
  <si>
    <t xml:space="preserve">WS-3</t>
  </si>
  <si>
    <t xml:space="preserve">Soldering</t>
  </si>
  <si>
    <t xml:space="preserve">WS-4</t>
  </si>
  <si>
    <t xml:space="preserve">Testing</t>
  </si>
  <si>
    <t xml:space="preserve">WS-5</t>
  </si>
  <si>
    <t xml:space="preserve">Packaging</t>
  </si>
  <si>
    <t xml:space="preserve">TOTAL</t>
  </si>
  <si>
    <t xml:space="preserve">Bottleneck Analysis:</t>
  </si>
  <si>
    <t xml:space="preserve">Takt Time</t>
  </si>
  <si>
    <t xml:space="preserve">min/unit</t>
  </si>
  <si>
    <t xml:space="preserve">Longest Cycle Time</t>
  </si>
  <si>
    <t xml:space="preserve">Bottleneck Station</t>
  </si>
  <si>
    <t xml:space="preserve">(highest cycle/operator)</t>
  </si>
  <si>
    <t xml:space="preserve">Can meet demand?</t>
  </si>
  <si>
    <t xml:space="preserve">THROUGHPUT TIME ANALYSIS</t>
  </si>
  <si>
    <t xml:space="preserve">Evaluate each row; fill the green cells.</t>
  </si>
  <si>
    <t xml:space="preserve">Element</t>
  </si>
  <si>
    <t xml:space="preserve">Time (min)</t>
  </si>
  <si>
    <t xml:space="preserve">% of Total</t>
  </si>
  <si>
    <t xml:space="preserve">Queue Time</t>
  </si>
  <si>
    <t xml:space="preserve">Setup Time</t>
  </si>
  <si>
    <t xml:space="preserve">Run Time (=Σ Cycle Times)</t>
  </si>
  <si>
    <t xml:space="preserve">Wait Time</t>
  </si>
  <si>
    <t xml:space="preserve">Move Time</t>
  </si>
  <si>
    <t xml:space="preserve">TOTAL THROUGHPUT TIME</t>
  </si>
  <si>
    <t xml:space="preserve">Manufacturing Efficiency</t>
  </si>
  <si>
    <t xml:space="preserve">(Run Time / Total)</t>
  </si>
  <si>
    <t xml:space="preserve">WORK CENTER LOAD CALCULATION</t>
  </si>
  <si>
    <t xml:space="preserve">Job</t>
  </si>
  <si>
    <t xml:space="preserve">Quantity</t>
  </si>
  <si>
    <t xml:space="preserve">Std Hrs/Unit</t>
  </si>
  <si>
    <t xml:space="preserve">Total Std Hours</t>
  </si>
  <si>
    <t xml:space="preserve">Job B</t>
  </si>
  <si>
    <t xml:space="preserve">Job C</t>
  </si>
  <si>
    <t xml:space="preserve">Job D</t>
  </si>
  <si>
    <t xml:space="preserve">TOTAL LOAD</t>
  </si>
  <si>
    <t xml:space="preserve">hours</t>
  </si>
  <si>
    <t xml:space="preserve">Capacity Available (8 hrs × 5 days)</t>
  </si>
  <si>
    <t xml:space="preserve">Load %</t>
  </si>
  <si>
    <t xml:space="preserve">Capacity Status</t>
  </si>
  <si>
    <t xml:space="preserve">EXAM-STYLE QUESTIONS:</t>
  </si>
  <si>
    <t xml:space="preserve">Q1: What is the Takt Time for this production line?</t>
  </si>
  <si>
    <t xml:space="preserve">Answer:</t>
  </si>
  <si>
    <t xml:space="preserve">Q2: Which workstation is the bottleneck? What is its cycle time per operator?</t>
  </si>
  <si>
    <t xml:space="preserve">Q3: Can the line meet customer demand? Why or why not?</t>
  </si>
  <si>
    <t xml:space="preserve">Q4: What percentage of throughput time is Queue Time? (biggest waste)</t>
  </si>
  <si>
    <t xml:space="preserve">Q5: What is the total Load on the work center in standard hours?</t>
  </si>
  <si>
    <t xml:space="preserve">Q6: If demand increases 25%, what is the new Takt Time? Can line still meet it?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</si>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</sst>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7" min="7" style="0" width="20"/>
    <col collapsed="false" customWidth="true" hidden="false" outlineLevel="0" max="12" min="12" style="0" width="24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G6" s="1" t="s">
        <v>4</v>
      </c>
      <c r="H6" s="1"/>
      <c r="I6" s="1"/>
      <c r="J6" s="1"/>
      <c r="L6" s="1" t="s">
        <v>5</v>
      </c>
      <c r="M6" s="1"/>
      <c r="N6" s="1"/>
    </row>
    <row r="7" customFormat="false" ht="23.85" hidden="false" customHeight="true" outlineLevel="0" collapsed="false">
      <c r="G7" s="4" t="s">
        <v>6</v>
      </c>
      <c r="H7" s="4"/>
      <c r="I7" s="4"/>
      <c r="J7" s="4"/>
      <c r="L7" s="5" t="s">
        <v>7</v>
      </c>
      <c r="M7" s="5"/>
      <c r="N7" s="5"/>
    </row>
    <row r="8" customFormat="false" ht="23.85" hidden="false" customHeight="true" outlineLevel="0" collapsed="false">
      <c r="G8" s="4" t="s">
        <v>8</v>
      </c>
      <c r="H8" s="4"/>
      <c r="I8" s="4"/>
      <c r="J8" s="4"/>
      <c r="L8" s="6" t="s">
        <v>9</v>
      </c>
      <c r="M8" s="6"/>
      <c r="N8" s="7" t="n">
        <v>100</v>
      </c>
    </row>
    <row r="9" customFormat="false" ht="23.85" hidden="false" customHeight="true" outlineLevel="0" collapsed="false">
      <c r="A9" s="8" t="s">
        <v>10</v>
      </c>
      <c r="G9" s="4" t="s">
        <v>11</v>
      </c>
      <c r="H9" s="4"/>
      <c r="I9" s="4"/>
      <c r="J9" s="4"/>
    </row>
    <row r="10" customFormat="false" ht="23.85" hidden="false" customHeight="true" outlineLevel="0" collapsed="false">
      <c r="G10" s="4" t="s">
        <v>12</v>
      </c>
      <c r="H10" s="4"/>
      <c r="I10" s="4"/>
      <c r="J10" s="4"/>
    </row>
    <row r="11" customFormat="false" ht="15" hidden="false" customHeight="false" outlineLevel="0" collapsed="false">
      <c r="A11" s="9" t="s">
        <v>13</v>
      </c>
    </row>
    <row r="12" customFormat="false" ht="15" hidden="false" customHeight="false" outlineLevel="0" collapsed="false">
      <c r="A12" s="8" t="s">
        <v>14</v>
      </c>
      <c r="C12" s="8" t="n">
        <v>480</v>
      </c>
      <c r="D12" s="8" t="s">
        <v>15</v>
      </c>
    </row>
    <row r="13" customFormat="false" ht="15" hidden="false" customHeight="false" outlineLevel="0" collapsed="false">
      <c r="A13" s="8" t="s">
        <v>16</v>
      </c>
      <c r="C13" s="8" t="n">
        <v>480</v>
      </c>
      <c r="D13" s="8" t="s">
        <v>17</v>
      </c>
    </row>
    <row r="14" customFormat="false" ht="15" hidden="false" customHeight="false" outlineLevel="0" collapsed="false">
      <c r="A14" s="8" t="s">
        <v>18</v>
      </c>
      <c r="C14" s="8" t="n">
        <v>1</v>
      </c>
    </row>
    <row r="17" customFormat="false" ht="15" hidden="false" customHeight="false" outlineLevel="0" collapsed="false">
      <c r="A17" s="9" t="s">
        <v>19</v>
      </c>
      <c r="C17" s="10" t="s">
        <v>20</v>
      </c>
      <c r="D17" s="10"/>
      <c r="E17" s="10"/>
      <c r="F17" s="10"/>
      <c r="G17" s="10"/>
      <c r="H17" s="10"/>
      <c r="I17" s="10"/>
      <c r="J17" s="10"/>
    </row>
    <row r="18" customFormat="false" ht="15" hidden="false" customHeight="false" outlineLevel="0" collapsed="false">
      <c r="A18" s="8" t="s">
        <v>21</v>
      </c>
    </row>
    <row r="20" customFormat="false" ht="15" hidden="false" customHeight="false" outlineLevel="0" collapsed="false">
      <c r="A20" s="8" t="s">
        <v>16</v>
      </c>
      <c r="C20" s="11"/>
      <c r="D20" s="8" t="s">
        <v>22</v>
      </c>
    </row>
    <row r="21" customFormat="false" ht="15" hidden="false" customHeight="false" outlineLevel="0" collapsed="false">
      <c r="A21" s="8" t="s">
        <v>23</v>
      </c>
      <c r="C21" s="11"/>
      <c r="D21" s="8" t="s">
        <v>15</v>
      </c>
    </row>
    <row r="22" customFormat="false" ht="15" hidden="false" customHeight="false" outlineLevel="0" collapsed="false">
      <c r="A22" s="8" t="s">
        <v>24</v>
      </c>
      <c r="C22" s="11"/>
      <c r="D22" s="8" t="s">
        <v>25</v>
      </c>
    </row>
    <row r="24" customFormat="false" ht="15" hidden="false" customHeight="false" outlineLevel="0" collapsed="false">
      <c r="A24" s="8" t="s">
        <v>26</v>
      </c>
    </row>
    <row r="27" customFormat="false" ht="15" hidden="false" customHeight="false" outlineLevel="0" collapsed="false">
      <c r="A27" s="9" t="s">
        <v>27</v>
      </c>
    </row>
    <row r="28" customFormat="false" ht="15" hidden="false" customHeight="false" outlineLevel="0" collapsed="false">
      <c r="A28" s="9" t="s">
        <v>28</v>
      </c>
      <c r="B28" s="9" t="s">
        <v>29</v>
      </c>
      <c r="C28" s="9" t="s">
        <v>30</v>
      </c>
      <c r="D28" s="9" t="s">
        <v>31</v>
      </c>
      <c r="E28" s="9" t="s">
        <v>32</v>
      </c>
    </row>
    <row r="29" customFormat="false" ht="15" hidden="false" customHeight="false" outlineLevel="0" collapsed="false">
      <c r="A29" s="8" t="s">
        <v>33</v>
      </c>
      <c r="B29" s="8" t="s">
        <v>34</v>
      </c>
      <c r="C29" s="8" t="n">
        <v>0.8</v>
      </c>
      <c r="D29" s="8" t="n">
        <v>1</v>
      </c>
      <c r="E29" s="11"/>
    </row>
    <row r="30" customFormat="false" ht="15" hidden="false" customHeight="false" outlineLevel="0" collapsed="false">
      <c r="A30" s="8" t="s">
        <v>35</v>
      </c>
      <c r="B30" s="8" t="s">
        <v>36</v>
      </c>
      <c r="C30" s="8" t="n">
        <v>1.5</v>
      </c>
      <c r="D30" s="8" t="n">
        <v>2</v>
      </c>
      <c r="E30" s="11"/>
    </row>
    <row r="31" customFormat="false" ht="15" hidden="false" customHeight="false" outlineLevel="0" collapsed="false">
      <c r="A31" s="8" t="s">
        <v>37</v>
      </c>
      <c r="B31" s="8" t="s">
        <v>38</v>
      </c>
      <c r="C31" s="8" t="n">
        <v>1.2</v>
      </c>
      <c r="D31" s="8" t="n">
        <v>1</v>
      </c>
      <c r="E31" s="11"/>
    </row>
    <row r="32" customFormat="false" ht="15" hidden="false" customHeight="false" outlineLevel="0" collapsed="false">
      <c r="A32" s="8" t="s">
        <v>39</v>
      </c>
      <c r="B32" s="8" t="s">
        <v>40</v>
      </c>
      <c r="C32" s="8" t="n">
        <v>0.9</v>
      </c>
      <c r="D32" s="8" t="n">
        <v>1</v>
      </c>
      <c r="E32" s="11"/>
    </row>
    <row r="33" customFormat="false" ht="15" hidden="false" customHeight="false" outlineLevel="0" collapsed="false">
      <c r="A33" s="8" t="s">
        <v>41</v>
      </c>
      <c r="B33" s="8" t="s">
        <v>42</v>
      </c>
      <c r="C33" s="8" t="n">
        <v>0.6</v>
      </c>
      <c r="D33" s="8" t="n">
        <v>1</v>
      </c>
      <c r="E33" s="11"/>
    </row>
    <row r="34" customFormat="false" ht="15" hidden="false" customHeight="false" outlineLevel="0" collapsed="false">
      <c r="A34" s="8" t="s">
        <v>43</v>
      </c>
      <c r="C34" s="11"/>
      <c r="D34" s="11"/>
    </row>
    <row r="36" customFormat="false" ht="15" hidden="false" customHeight="false" outlineLevel="0" collapsed="false">
      <c r="A36" s="8" t="s">
        <v>44</v>
      </c>
    </row>
    <row r="37" customFormat="false" ht="15" hidden="false" customHeight="false" outlineLevel="0" collapsed="false">
      <c r="A37" s="8" t="s">
        <v>45</v>
      </c>
      <c r="C37" s="11"/>
      <c r="D37" s="8" t="s">
        <v>46</v>
      </c>
    </row>
    <row r="38" customFormat="false" ht="15" hidden="false" customHeight="false" outlineLevel="0" collapsed="false">
      <c r="A38" s="8" t="s">
        <v>47</v>
      </c>
      <c r="C38" s="11"/>
      <c r="D38" s="8" t="s">
        <v>46</v>
      </c>
    </row>
    <row r="39" customFormat="false" ht="15" hidden="false" customHeight="false" outlineLevel="0" collapsed="false">
      <c r="A39" s="8" t="s">
        <v>48</v>
      </c>
      <c r="C39" s="8" t="s">
        <v>37</v>
      </c>
      <c r="D39" s="8" t="s">
        <v>49</v>
      </c>
    </row>
    <row r="40" customFormat="false" ht="15" hidden="false" customHeight="false" outlineLevel="0" collapsed="false">
      <c r="A40" s="8" t="s">
        <v>50</v>
      </c>
      <c r="C40" s="11"/>
    </row>
    <row r="43" customFormat="false" ht="15" hidden="false" customHeight="false" outlineLevel="0" collapsed="false">
      <c r="A43" s="9" t="s">
        <v>51</v>
      </c>
      <c r="C43" s="10" t="s">
        <v>52</v>
      </c>
      <c r="D43" s="10"/>
      <c r="E43" s="10"/>
      <c r="F43" s="10"/>
      <c r="G43" s="10"/>
      <c r="H43" s="10"/>
      <c r="I43" s="10"/>
      <c r="J43" s="10"/>
    </row>
    <row r="44" customFormat="false" ht="15" hidden="false" customHeight="false" outlineLevel="0" collapsed="false">
      <c r="A44" s="9" t="s">
        <v>53</v>
      </c>
      <c r="B44" s="9" t="s">
        <v>54</v>
      </c>
      <c r="C44" s="9" t="s">
        <v>55</v>
      </c>
    </row>
    <row r="45" customFormat="false" ht="15" hidden="false" customHeight="false" outlineLevel="0" collapsed="false">
      <c r="A45" s="8" t="s">
        <v>56</v>
      </c>
      <c r="B45" s="8" t="n">
        <v>45</v>
      </c>
      <c r="C45" s="11"/>
    </row>
    <row r="46" customFormat="false" ht="15" hidden="false" customHeight="false" outlineLevel="0" collapsed="false">
      <c r="A46" s="8" t="s">
        <v>57</v>
      </c>
      <c r="B46" s="8" t="n">
        <v>5</v>
      </c>
      <c r="C46" s="11"/>
    </row>
    <row r="47" customFormat="false" ht="15" hidden="false" customHeight="false" outlineLevel="0" collapsed="false">
      <c r="A47" s="8" t="s">
        <v>58</v>
      </c>
      <c r="B47" s="11"/>
      <c r="C47" s="11"/>
    </row>
    <row r="48" customFormat="false" ht="15" hidden="false" customHeight="false" outlineLevel="0" collapsed="false">
      <c r="A48" s="8" t="s">
        <v>59</v>
      </c>
      <c r="B48" s="8" t="n">
        <v>25</v>
      </c>
      <c r="C48" s="11"/>
    </row>
    <row r="49" customFormat="false" ht="15" hidden="false" customHeight="false" outlineLevel="0" collapsed="false">
      <c r="A49" s="8" t="s">
        <v>60</v>
      </c>
      <c r="B49" s="8" t="n">
        <v>10</v>
      </c>
      <c r="C49" s="11"/>
    </row>
    <row r="50" customFormat="false" ht="15" hidden="false" customHeight="false" outlineLevel="0" collapsed="false">
      <c r="A50" s="8" t="s">
        <v>61</v>
      </c>
      <c r="B50" s="11"/>
    </row>
    <row r="52" customFormat="false" ht="15" hidden="false" customHeight="false" outlineLevel="0" collapsed="false">
      <c r="A52" s="8" t="s">
        <v>62</v>
      </c>
      <c r="B52" s="11"/>
      <c r="C52" s="8" t="s">
        <v>63</v>
      </c>
    </row>
    <row r="55" customFormat="false" ht="15" hidden="false" customHeight="false" outlineLevel="0" collapsed="false">
      <c r="A55" s="8" t="s">
        <v>64</v>
      </c>
    </row>
    <row r="56" customFormat="false" ht="15" hidden="false" customHeight="false" outlineLevel="0" collapsed="false">
      <c r="A56" s="9" t="s">
        <v>65</v>
      </c>
      <c r="B56" s="9" t="s">
        <v>66</v>
      </c>
      <c r="C56" s="9" t="s">
        <v>67</v>
      </c>
      <c r="D56" s="9" t="s">
        <v>68</v>
      </c>
    </row>
    <row r="57" customFormat="false" ht="15" hidden="false" customHeight="false" outlineLevel="0" collapsed="false">
      <c r="A57" s="9" t="s">
        <v>9</v>
      </c>
      <c r="B57" s="9" t="n">
        <v>200</v>
      </c>
      <c r="C57" s="9" t="n">
        <v>0.5</v>
      </c>
      <c r="D57" s="12"/>
    </row>
    <row r="58" customFormat="false" ht="15" hidden="false" customHeight="false" outlineLevel="0" collapsed="false">
      <c r="A58" s="8" t="s">
        <v>69</v>
      </c>
      <c r="B58" s="8" t="n">
        <v>150</v>
      </c>
      <c r="C58" s="8" t="n">
        <v>0.75</v>
      </c>
      <c r="D58" s="11"/>
    </row>
    <row r="59" customFormat="false" ht="15" hidden="false" customHeight="false" outlineLevel="0" collapsed="false">
      <c r="A59" s="8" t="s">
        <v>70</v>
      </c>
      <c r="B59" s="8" t="n">
        <v>300</v>
      </c>
      <c r="C59" s="8" t="n">
        <v>0.25</v>
      </c>
      <c r="D59" s="11"/>
    </row>
    <row r="60" customFormat="false" ht="15" hidden="false" customHeight="false" outlineLevel="0" collapsed="false">
      <c r="A60" s="8" t="s">
        <v>71</v>
      </c>
      <c r="B60" s="8" t="n">
        <v>100</v>
      </c>
      <c r="C60" s="8" t="n">
        <v>1</v>
      </c>
      <c r="D60" s="11"/>
    </row>
    <row r="61" customFormat="false" ht="15" hidden="false" customHeight="false" outlineLevel="0" collapsed="false">
      <c r="A61" s="8" t="s">
        <v>72</v>
      </c>
      <c r="B61" s="11"/>
      <c r="D61" s="11"/>
      <c r="E61" s="8" t="s">
        <v>73</v>
      </c>
    </row>
    <row r="63" customFormat="false" ht="15" hidden="false" customHeight="false" outlineLevel="0" collapsed="false">
      <c r="A63" s="8" t="s">
        <v>74</v>
      </c>
      <c r="D63" s="8" t="n">
        <v>40</v>
      </c>
      <c r="E63" s="8" t="s">
        <v>73</v>
      </c>
    </row>
    <row r="64" customFormat="false" ht="15" hidden="false" customHeight="false" outlineLevel="0" collapsed="false">
      <c r="A64" s="8" t="s">
        <v>75</v>
      </c>
      <c r="D64" s="11"/>
    </row>
    <row r="65" customFormat="false" ht="15" hidden="false" customHeight="false" outlineLevel="0" collapsed="false">
      <c r="A65" s="8" t="s">
        <v>76</v>
      </c>
      <c r="D65" s="11"/>
    </row>
    <row r="68" customFormat="false" ht="15" hidden="false" customHeight="false" outlineLevel="0" collapsed="false">
      <c r="A68" s="8" t="s">
        <v>77</v>
      </c>
    </row>
    <row r="70" customFormat="false" ht="15" hidden="false" customHeight="false" outlineLevel="0" collapsed="false">
      <c r="A70" s="8" t="s">
        <v>78</v>
      </c>
      <c r="E70" s="8" t="s">
        <v>79</v>
      </c>
    </row>
    <row r="71" customFormat="false" ht="15" hidden="false" customHeight="false" outlineLevel="0" collapsed="false">
      <c r="A71" s="8" t="s">
        <v>80</v>
      </c>
      <c r="E71" s="8" t="s">
        <v>79</v>
      </c>
    </row>
    <row r="72" customFormat="false" ht="15" hidden="false" customHeight="false" outlineLevel="0" collapsed="false">
      <c r="A72" s="8" t="s">
        <v>81</v>
      </c>
      <c r="E72" s="8" t="s">
        <v>79</v>
      </c>
    </row>
    <row r="73" customFormat="false" ht="15" hidden="false" customHeight="false" outlineLevel="0" collapsed="false">
      <c r="A73" s="8" t="s">
        <v>82</v>
      </c>
      <c r="E73" s="8" t="s">
        <v>79</v>
      </c>
    </row>
    <row r="74" customFormat="false" ht="15" hidden="false" customHeight="false" outlineLevel="0" collapsed="false">
      <c r="A74" s="8" t="s">
        <v>83</v>
      </c>
      <c r="E74" s="8" t="s">
        <v>79</v>
      </c>
    </row>
    <row r="75" customFormat="false" ht="15" hidden="false" customHeight="false" outlineLevel="0" collapsed="false">
      <c r="A75" s="8" t="s">
        <v>84</v>
      </c>
      <c r="E75" s="8" t="s">
        <v>79</v>
      </c>
    </row>
  </sheetData>
  <mergeCells count="14">
    <mergeCell ref="A1:J1"/>
    <mergeCell ref="A2:J2"/>
    <mergeCell ref="A3:J3"/>
    <mergeCell ref="A4:J4"/>
    <mergeCell ref="G6:J6"/>
    <mergeCell ref="L6:N6"/>
    <mergeCell ref="G7:J7"/>
    <mergeCell ref="L7:N7"/>
    <mergeCell ref="G8:J8"/>
    <mergeCell ref="L8:M8"/>
    <mergeCell ref="G9:J9"/>
    <mergeCell ref="G10:J10"/>
    <mergeCell ref="C17:J17"/>
    <mergeCell ref="C43:J43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7" min="7" style="0" width="20"/>
    <col collapsed="false" customWidth="true" hidden="false" outlineLevel="0" max="12" min="12" style="0" width="24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 t="s">
        <v>85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true" outlineLevel="0" collapsed="false">
      <c r="A4" s="3" t="s">
        <v>86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G6" s="1" t="s">
        <v>4</v>
      </c>
      <c r="H6" s="1"/>
      <c r="I6" s="1"/>
      <c r="J6" s="1"/>
      <c r="L6" s="1" t="s">
        <v>5</v>
      </c>
      <c r="M6" s="1"/>
      <c r="N6" s="1"/>
    </row>
    <row r="7" customFormat="false" ht="23.85" hidden="false" customHeight="true" outlineLevel="0" collapsed="false">
      <c r="G7" s="4" t="s">
        <v>6</v>
      </c>
      <c r="H7" s="4"/>
      <c r="I7" s="4"/>
      <c r="J7" s="4"/>
      <c r="L7" s="5" t="s">
        <v>7</v>
      </c>
      <c r="M7" s="5"/>
      <c r="N7" s="5"/>
    </row>
    <row r="8" customFormat="false" ht="23.85" hidden="false" customHeight="true" outlineLevel="0" collapsed="false">
      <c r="G8" s="4" t="s">
        <v>8</v>
      </c>
      <c r="H8" s="4"/>
      <c r="I8" s="4"/>
      <c r="J8" s="4"/>
      <c r="L8" s="6" t="s">
        <v>9</v>
      </c>
      <c r="M8" s="6"/>
      <c r="N8" s="7" t="n">
        <v>100</v>
      </c>
    </row>
    <row r="9" customFormat="false" ht="23.85" hidden="false" customHeight="true" outlineLevel="0" collapsed="false">
      <c r="A9" s="8" t="s">
        <v>10</v>
      </c>
      <c r="G9" s="4" t="s">
        <v>11</v>
      </c>
      <c r="H9" s="4"/>
      <c r="I9" s="4"/>
      <c r="J9" s="4"/>
    </row>
    <row r="10" customFormat="false" ht="23.85" hidden="false" customHeight="true" outlineLevel="0" collapsed="false">
      <c r="G10" s="4" t="s">
        <v>12</v>
      </c>
      <c r="H10" s="4"/>
      <c r="I10" s="4"/>
      <c r="J10" s="4"/>
    </row>
    <row r="11" customFormat="false" ht="15" hidden="false" customHeight="false" outlineLevel="0" collapsed="false">
      <c r="A11" s="9" t="s">
        <v>13</v>
      </c>
    </row>
    <row r="12" customFormat="false" ht="15" hidden="false" customHeight="false" outlineLevel="0" collapsed="false">
      <c r="A12" s="8" t="s">
        <v>14</v>
      </c>
      <c r="C12" s="8" t="n">
        <v>480</v>
      </c>
      <c r="D12" s="8" t="s">
        <v>15</v>
      </c>
    </row>
    <row r="13" customFormat="false" ht="15" hidden="false" customHeight="false" outlineLevel="0" collapsed="false">
      <c r="A13" s="8" t="s">
        <v>16</v>
      </c>
      <c r="C13" s="8" t="n">
        <v>480</v>
      </c>
      <c r="D13" s="8" t="s">
        <v>17</v>
      </c>
    </row>
    <row r="14" customFormat="false" ht="15" hidden="false" customHeight="false" outlineLevel="0" collapsed="false">
      <c r="A14" s="8" t="s">
        <v>18</v>
      </c>
      <c r="C14" s="8" t="n">
        <v>1</v>
      </c>
    </row>
    <row r="17" customFormat="false" ht="15" hidden="false" customHeight="false" outlineLevel="0" collapsed="false">
      <c r="A17" s="9" t="s">
        <v>19</v>
      </c>
      <c r="C17" s="10" t="s">
        <v>20</v>
      </c>
      <c r="D17" s="10"/>
      <c r="E17" s="10"/>
      <c r="F17" s="10"/>
      <c r="G17" s="10"/>
      <c r="H17" s="10"/>
      <c r="I17" s="10"/>
      <c r="J17" s="10"/>
    </row>
    <row r="18" customFormat="false" ht="15" hidden="false" customHeight="false" outlineLevel="0" collapsed="false">
      <c r="A18" s="8" t="s">
        <v>21</v>
      </c>
    </row>
    <row r="20" customFormat="false" ht="15" hidden="false" customHeight="false" outlineLevel="0" collapsed="false">
      <c r="A20" s="8" t="s">
        <v>16</v>
      </c>
      <c r="C20" s="11" t="n">
        <f aca="false">C13</f>
        <v>480</v>
      </c>
      <c r="D20" s="8" t="s">
        <v>22</v>
      </c>
    </row>
    <row r="21" customFormat="false" ht="15" hidden="false" customHeight="false" outlineLevel="0" collapsed="false">
      <c r="A21" s="8" t="s">
        <v>23</v>
      </c>
      <c r="C21" s="11" t="n">
        <f aca="false">C12</f>
        <v>480</v>
      </c>
      <c r="D21" s="8" t="s">
        <v>15</v>
      </c>
    </row>
    <row r="22" customFormat="false" ht="15" hidden="false" customHeight="false" outlineLevel="0" collapsed="false">
      <c r="A22" s="8" t="s">
        <v>24</v>
      </c>
      <c r="C22" s="11" t="n">
        <f aca="false">C20/C21</f>
        <v>1</v>
      </c>
      <c r="D22" s="8" t="s">
        <v>25</v>
      </c>
    </row>
    <row r="24" customFormat="false" ht="15" hidden="false" customHeight="false" outlineLevel="0" collapsed="false">
      <c r="A24" s="8" t="s">
        <v>26</v>
      </c>
    </row>
    <row r="27" customFormat="false" ht="15" hidden="false" customHeight="false" outlineLevel="0" collapsed="false">
      <c r="A27" s="9" t="s">
        <v>27</v>
      </c>
    </row>
    <row r="28" customFormat="false" ht="15" hidden="false" customHeight="false" outlineLevel="0" collapsed="false">
      <c r="A28" s="9" t="s">
        <v>28</v>
      </c>
      <c r="B28" s="9" t="s">
        <v>29</v>
      </c>
      <c r="C28" s="9" t="s">
        <v>30</v>
      </c>
      <c r="D28" s="9" t="s">
        <v>31</v>
      </c>
      <c r="E28" s="9" t="s">
        <v>32</v>
      </c>
    </row>
    <row r="29" customFormat="false" ht="15" hidden="false" customHeight="false" outlineLevel="0" collapsed="false">
      <c r="A29" s="8" t="s">
        <v>33</v>
      </c>
      <c r="B29" s="8" t="s">
        <v>34</v>
      </c>
      <c r="C29" s="8" t="n">
        <v>0.8</v>
      </c>
      <c r="D29" s="8" t="n">
        <v>1</v>
      </c>
      <c r="E29" s="11" t="n">
        <f aca="false">C29/D29</f>
        <v>0.8</v>
      </c>
    </row>
    <row r="30" customFormat="false" ht="15" hidden="false" customHeight="false" outlineLevel="0" collapsed="false">
      <c r="A30" s="8" t="s">
        <v>35</v>
      </c>
      <c r="B30" s="8" t="s">
        <v>36</v>
      </c>
      <c r="C30" s="8" t="n">
        <v>1.5</v>
      </c>
      <c r="D30" s="8" t="n">
        <v>2</v>
      </c>
      <c r="E30" s="11" t="n">
        <f aca="false">C30/D30</f>
        <v>0.75</v>
      </c>
    </row>
    <row r="31" customFormat="false" ht="15" hidden="false" customHeight="false" outlineLevel="0" collapsed="false">
      <c r="A31" s="8" t="s">
        <v>37</v>
      </c>
      <c r="B31" s="8" t="s">
        <v>38</v>
      </c>
      <c r="C31" s="8" t="n">
        <v>1.2</v>
      </c>
      <c r="D31" s="8" t="n">
        <v>1</v>
      </c>
      <c r="E31" s="11" t="n">
        <f aca="false">C31/D31</f>
        <v>1.2</v>
      </c>
    </row>
    <row r="32" customFormat="false" ht="15" hidden="false" customHeight="false" outlineLevel="0" collapsed="false">
      <c r="A32" s="8" t="s">
        <v>39</v>
      </c>
      <c r="B32" s="8" t="s">
        <v>40</v>
      </c>
      <c r="C32" s="8" t="n">
        <v>0.9</v>
      </c>
      <c r="D32" s="8" t="n">
        <v>1</v>
      </c>
      <c r="E32" s="11" t="n">
        <f aca="false">C32/D32</f>
        <v>0.9</v>
      </c>
    </row>
    <row r="33" customFormat="false" ht="15" hidden="false" customHeight="false" outlineLevel="0" collapsed="false">
      <c r="A33" s="8" t="s">
        <v>41</v>
      </c>
      <c r="B33" s="8" t="s">
        <v>42</v>
      </c>
      <c r="C33" s="8" t="n">
        <v>0.6</v>
      </c>
      <c r="D33" s="8" t="n">
        <v>1</v>
      </c>
      <c r="E33" s="11" t="n">
        <f aca="false">C33/D33</f>
        <v>0.6</v>
      </c>
    </row>
    <row r="34" customFormat="false" ht="15" hidden="false" customHeight="false" outlineLevel="0" collapsed="false">
      <c r="A34" s="8" t="s">
        <v>43</v>
      </c>
      <c r="C34" s="11" t="n">
        <f aca="false">SUM(C29:C33)</f>
        <v>5</v>
      </c>
      <c r="D34" s="11" t="n">
        <f aca="false">SUM(D29:D33)</f>
        <v>6</v>
      </c>
    </row>
    <row r="36" customFormat="false" ht="15" hidden="false" customHeight="false" outlineLevel="0" collapsed="false">
      <c r="A36" s="8" t="s">
        <v>44</v>
      </c>
    </row>
    <row r="37" customFormat="false" ht="15" hidden="false" customHeight="false" outlineLevel="0" collapsed="false">
      <c r="A37" s="8" t="s">
        <v>45</v>
      </c>
      <c r="C37" s="11" t="n">
        <f aca="false">C22</f>
        <v>1</v>
      </c>
      <c r="D37" s="8" t="s">
        <v>46</v>
      </c>
    </row>
    <row r="38" customFormat="false" ht="15" hidden="false" customHeight="false" outlineLevel="0" collapsed="false">
      <c r="A38" s="8" t="s">
        <v>47</v>
      </c>
      <c r="C38" s="11" t="n">
        <f aca="false">MAX(E29:E33)</f>
        <v>1.2</v>
      </c>
      <c r="D38" s="8" t="s">
        <v>46</v>
      </c>
    </row>
    <row r="39" customFormat="false" ht="15" hidden="false" customHeight="false" outlineLevel="0" collapsed="false">
      <c r="A39" s="8" t="s">
        <v>48</v>
      </c>
      <c r="C39" s="8" t="s">
        <v>37</v>
      </c>
      <c r="D39" s="8" t="s">
        <v>49</v>
      </c>
    </row>
    <row r="40" customFormat="false" ht="15" hidden="false" customHeight="false" outlineLevel="0" collapsed="false">
      <c r="A40" s="8" t="s">
        <v>50</v>
      </c>
      <c r="C40" s="11" t="str">
        <f aca="false">IF(C38&lt;=C37,"YES","NO - Bottleneck")</f>
        <v>NO - Bottleneck</v>
      </c>
    </row>
    <row r="43" customFormat="false" ht="15" hidden="false" customHeight="false" outlineLevel="0" collapsed="false">
      <c r="A43" s="9" t="s">
        <v>51</v>
      </c>
      <c r="C43" s="10" t="s">
        <v>52</v>
      </c>
      <c r="D43" s="10"/>
      <c r="E43" s="10"/>
      <c r="F43" s="10"/>
      <c r="G43" s="10"/>
      <c r="H43" s="10"/>
      <c r="I43" s="10"/>
      <c r="J43" s="10"/>
    </row>
    <row r="44" customFormat="false" ht="15" hidden="false" customHeight="false" outlineLevel="0" collapsed="false">
      <c r="A44" s="9" t="s">
        <v>53</v>
      </c>
      <c r="B44" s="9" t="s">
        <v>54</v>
      </c>
      <c r="C44" s="9" t="s">
        <v>55</v>
      </c>
    </row>
    <row r="45" customFormat="false" ht="15" hidden="false" customHeight="false" outlineLevel="0" collapsed="false">
      <c r="A45" s="8" t="s">
        <v>56</v>
      </c>
      <c r="B45" s="8" t="n">
        <v>45</v>
      </c>
      <c r="C45" s="11" t="n">
        <f aca="false">B45/B50</f>
        <v>0.5</v>
      </c>
    </row>
    <row r="46" customFormat="false" ht="15" hidden="false" customHeight="false" outlineLevel="0" collapsed="false">
      <c r="A46" s="8" t="s">
        <v>57</v>
      </c>
      <c r="B46" s="8" t="n">
        <v>5</v>
      </c>
      <c r="C46" s="11" t="n">
        <f aca="false">B46/B50</f>
        <v>0.0555555555555556</v>
      </c>
    </row>
    <row r="47" customFormat="false" ht="15" hidden="false" customHeight="false" outlineLevel="0" collapsed="false">
      <c r="A47" s="8" t="s">
        <v>58</v>
      </c>
      <c r="B47" s="11" t="n">
        <f aca="false">C34</f>
        <v>5</v>
      </c>
      <c r="C47" s="11" t="n">
        <f aca="false">B47/B50</f>
        <v>0.0555555555555556</v>
      </c>
    </row>
    <row r="48" customFormat="false" ht="15" hidden="false" customHeight="false" outlineLevel="0" collapsed="false">
      <c r="A48" s="8" t="s">
        <v>59</v>
      </c>
      <c r="B48" s="8" t="n">
        <v>25</v>
      </c>
      <c r="C48" s="11" t="n">
        <f aca="false">B48/B50</f>
        <v>0.277777777777778</v>
      </c>
    </row>
    <row r="49" customFormat="false" ht="15" hidden="false" customHeight="false" outlineLevel="0" collapsed="false">
      <c r="A49" s="8" t="s">
        <v>60</v>
      </c>
      <c r="B49" s="8" t="n">
        <v>10</v>
      </c>
      <c r="C49" s="11" t="n">
        <f aca="false">B49/B50</f>
        <v>0.111111111111111</v>
      </c>
    </row>
    <row r="50" customFormat="false" ht="15" hidden="false" customHeight="false" outlineLevel="0" collapsed="false">
      <c r="A50" s="8" t="s">
        <v>61</v>
      </c>
      <c r="B50" s="11" t="n">
        <f aca="false">SUM(B45:B49)</f>
        <v>90</v>
      </c>
    </row>
    <row r="52" customFormat="false" ht="15" hidden="false" customHeight="false" outlineLevel="0" collapsed="false">
      <c r="A52" s="8" t="s">
        <v>62</v>
      </c>
      <c r="B52" s="11" t="n">
        <f aca="false">B47/B50</f>
        <v>0.0555555555555556</v>
      </c>
      <c r="C52" s="8" t="s">
        <v>63</v>
      </c>
    </row>
    <row r="55" customFormat="false" ht="15" hidden="false" customHeight="false" outlineLevel="0" collapsed="false">
      <c r="A55" s="8" t="s">
        <v>64</v>
      </c>
    </row>
    <row r="56" customFormat="false" ht="15" hidden="false" customHeight="false" outlineLevel="0" collapsed="false">
      <c r="A56" s="9" t="s">
        <v>65</v>
      </c>
      <c r="B56" s="9" t="s">
        <v>66</v>
      </c>
      <c r="C56" s="9" t="s">
        <v>67</v>
      </c>
      <c r="D56" s="9" t="s">
        <v>68</v>
      </c>
    </row>
    <row r="57" customFormat="false" ht="15" hidden="false" customHeight="false" outlineLevel="0" collapsed="false">
      <c r="A57" s="9" t="s">
        <v>9</v>
      </c>
      <c r="B57" s="9" t="n">
        <v>200</v>
      </c>
      <c r="C57" s="9" t="n">
        <v>0.5</v>
      </c>
      <c r="D57" s="12" t="n">
        <f aca="false">B57*C57</f>
        <v>100</v>
      </c>
    </row>
    <row r="58" customFormat="false" ht="15" hidden="false" customHeight="false" outlineLevel="0" collapsed="false">
      <c r="A58" s="8" t="s">
        <v>69</v>
      </c>
      <c r="B58" s="8" t="n">
        <v>150</v>
      </c>
      <c r="C58" s="8" t="n">
        <v>0.75</v>
      </c>
      <c r="D58" s="11" t="n">
        <f aca="false">B58*C58</f>
        <v>112.5</v>
      </c>
    </row>
    <row r="59" customFormat="false" ht="15" hidden="false" customHeight="false" outlineLevel="0" collapsed="false">
      <c r="A59" s="8" t="s">
        <v>70</v>
      </c>
      <c r="B59" s="8" t="n">
        <v>300</v>
      </c>
      <c r="C59" s="8" t="n">
        <v>0.25</v>
      </c>
      <c r="D59" s="11" t="n">
        <f aca="false">B59*C59</f>
        <v>75</v>
      </c>
    </row>
    <row r="60" customFormat="false" ht="15" hidden="false" customHeight="false" outlineLevel="0" collapsed="false">
      <c r="A60" s="8" t="s">
        <v>71</v>
      </c>
      <c r="B60" s="8" t="n">
        <v>100</v>
      </c>
      <c r="C60" s="8" t="n">
        <v>1</v>
      </c>
      <c r="D60" s="11" t="n">
        <f aca="false">B60*C60</f>
        <v>100</v>
      </c>
    </row>
    <row r="61" customFormat="false" ht="15" hidden="false" customHeight="false" outlineLevel="0" collapsed="false">
      <c r="A61" s="8" t="s">
        <v>72</v>
      </c>
      <c r="B61" s="11" t="n">
        <f aca="false">SUM(B57:B60)</f>
        <v>750</v>
      </c>
      <c r="D61" s="11" t="n">
        <f aca="false">SUM(D57:D60)</f>
        <v>387.5</v>
      </c>
      <c r="E61" s="8" t="s">
        <v>73</v>
      </c>
    </row>
    <row r="63" customFormat="false" ht="15" hidden="false" customHeight="false" outlineLevel="0" collapsed="false">
      <c r="A63" s="8" t="s">
        <v>74</v>
      </c>
      <c r="D63" s="8" t="n">
        <v>40</v>
      </c>
      <c r="E63" s="8" t="s">
        <v>73</v>
      </c>
    </row>
    <row r="64" customFormat="false" ht="15" hidden="false" customHeight="false" outlineLevel="0" collapsed="false">
      <c r="A64" s="8" t="s">
        <v>75</v>
      </c>
      <c r="D64" s="11" t="n">
        <f aca="false">D61/D63</f>
        <v>9.6875</v>
      </c>
    </row>
    <row r="65" customFormat="false" ht="15" hidden="false" customHeight="false" outlineLevel="0" collapsed="false">
      <c r="A65" s="8" t="s">
        <v>76</v>
      </c>
      <c r="D65" s="11" t="str">
        <f aca="false">IF(D64&gt;1,"OVERLOADED","OK")</f>
        <v>OVERLOADED</v>
      </c>
    </row>
    <row r="68" customFormat="false" ht="15" hidden="false" customHeight="false" outlineLevel="0" collapsed="false">
      <c r="A68" s="8" t="s">
        <v>77</v>
      </c>
    </row>
    <row r="70" customFormat="false" ht="15" hidden="false" customHeight="false" outlineLevel="0" collapsed="false">
      <c r="A70" s="8" t="s">
        <v>78</v>
      </c>
      <c r="E70" s="8" t="s">
        <v>79</v>
      </c>
    </row>
    <row r="71" customFormat="false" ht="15" hidden="false" customHeight="false" outlineLevel="0" collapsed="false">
      <c r="A71" s="8" t="s">
        <v>80</v>
      </c>
      <c r="E71" s="8" t="s">
        <v>79</v>
      </c>
    </row>
    <row r="72" customFormat="false" ht="15" hidden="false" customHeight="false" outlineLevel="0" collapsed="false">
      <c r="A72" s="8" t="s">
        <v>81</v>
      </c>
      <c r="E72" s="8" t="s">
        <v>79</v>
      </c>
    </row>
    <row r="73" customFormat="false" ht="15" hidden="false" customHeight="false" outlineLevel="0" collapsed="false">
      <c r="A73" s="8" t="s">
        <v>82</v>
      </c>
      <c r="E73" s="8" t="s">
        <v>79</v>
      </c>
    </row>
    <row r="74" customFormat="false" ht="15" hidden="false" customHeight="false" outlineLevel="0" collapsed="false">
      <c r="A74" s="8" t="s">
        <v>83</v>
      </c>
      <c r="E74" s="8" t="s">
        <v>79</v>
      </c>
    </row>
    <row r="75" customFormat="false" ht="15" hidden="false" customHeight="false" outlineLevel="0" collapsed="false">
      <c r="A75" s="8" t="s">
        <v>84</v>
      </c>
      <c r="E75" s="8" t="s">
        <v>79</v>
      </c>
    </row>
  </sheetData>
  <mergeCells count="14">
    <mergeCell ref="A1:J1"/>
    <mergeCell ref="A2:J2"/>
    <mergeCell ref="A3:J3"/>
    <mergeCell ref="A4:J4"/>
    <mergeCell ref="G6:J6"/>
    <mergeCell ref="L6:N6"/>
    <mergeCell ref="G7:J7"/>
    <mergeCell ref="L7:N7"/>
    <mergeCell ref="G8:J8"/>
    <mergeCell ref="L8:M8"/>
    <mergeCell ref="G9:J9"/>
    <mergeCell ref="G10:J10"/>
    <mergeCell ref="C17:J17"/>
    <mergeCell ref="C43:J43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