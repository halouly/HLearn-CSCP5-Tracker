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10 - Forecast Method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<sst xmlns="http://schemas.openxmlformats.org/spreadsheetml/2006/main" count="268" uniqueCount="68">
  <si>
    <t xml:space="preserve">CASE 10: FORECASTING METHODS — SMA, WMA, EXPONENTIAL SMOOTHING</t>
  </si>
  <si>
    <t xml:space="preserve">Calculation Worksheet</t>
  </si>
  <si>
    <t xml:space="preserve">SCENARIO: Compare three forecasting methods using historical demand data.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</si>
  <si>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</si>
  <si>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</si>
  <si>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</si>
  <si>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Compare three forecasting methods and pick the most accurate.</t>
  </si>
  <si>
    <t xml:space="preserve">Self-check targets.</t>
  </si>
  <si>
    <t xml:space="preserve">Your task: Forecast period 9 with SMA, WMA and exponential smoothing; compute each MAD.</t>
  </si>
  <si>
    <t xml:space="preserve">2</t>
  </si>
  <si>
    <t xml:space="preserve">Determine which method provides the best forecast accuracy.</t>
  </si>
  <si>
    <t xml:space="preserve">Approach: Never forecast a period using its own actual; the method with the lowest MAD wins.</t>
  </si>
  <si>
    <t xml:space="preserve">Time: ~30 min   •   Fill the shaded input cells, then check the ANSWER KEY sheet only after you finish.</t>
  </si>
  <si>
    <t xml:space="preserve">Simple MA (3)</t>
  </si>
  <si>
    <t xml:space="preserve">HISTORICAL DEMAND DATA</t>
  </si>
  <si>
    <t xml:space="preserve">Given values (blue) — do not change.</t>
  </si>
  <si>
    <t xml:space="preserve">Period</t>
  </si>
  <si>
    <t xml:space="preserve">Demand</t>
  </si>
  <si>
    <t xml:space="preserve">Weighted MA (3)</t>
  </si>
  <si>
    <t xml:space="preserve">1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</si>
  <si>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</si>
  <si>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</si>
  <si>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</si>
  <si>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</si>
  <si>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</si>
  <si>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</si>
  <si>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</si>
  <si>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???</t>
  </si>
  <si>
    <t xml:space="preserve">(Forecast this)</t>
  </si>
  <si>
    <t xml:space="preserve">METHOD 1: SIMPLE MOVING AVERAGE (3-Period)</t>
  </si>
  <si>
    <t xml:space="preserve">Formula: SMA = Σ(Last n periods) / n</t>
  </si>
  <si>
    <t xml:space="preserve">SMA(3)</t>
  </si>
  <si>
    <t xml:space="preserve">Error</t>
  </si>
  <si>
    <t xml:space="preserve">Abs Error</t>
  </si>
  <si>
    <t xml:space="preserve">-</t>
  </si>
  <si>
    <t xml:space="preserve">9 (Fcst)</t>
  </si>
  <si>
    <t xml:space="preserve">MAD:</t>
  </si>
  <si>
    <t xml:space="preserve">METHOD 2: WEIGHTED MOVING AVERAGE (3-Period)</t>
  </si>
  <si>
    <t xml:space="preserve">Weights: Period t-1 = 0.5, t-2 = 0.3, t-3 = 0.2</t>
  </si>
  <si>
    <t xml:space="preserve">Formula: WMA = Σ(Weight × Demand) / Σ(Weights)</t>
  </si>
  <si>
    <t xml:space="preserve">WMA(3)</t>
  </si>
  <si>
    <t xml:space="preserve">METHOD 3: EXPONENTIAL SMOOTHING</t>
  </si>
  <si>
    <t xml:space="preserve">Alpha (α) = 0.3 | Initial Forecast = 100</t>
  </si>
  <si>
    <t xml:space="preserve">Formula: Ft+1 = α(Actual) + (1-α)(Prior Forecast)</t>
  </si>
  <si>
    <t xml:space="preserve">Forecast</t>
  </si>
  <si>
    <t xml:space="preserve">Calculation</t>
  </si>
  <si>
    <t xml:space="preserve">Initial</t>
  </si>
  <si>
    <t xml:space="preserve">F2 = 0.3(100)+0.7(100)</t>
  </si>
  <si>
    <t xml:space="preserve">COMPARISON SUMMARY</t>
  </si>
  <si>
    <t xml:space="preserve">Method</t>
  </si>
  <si>
    <t xml:space="preserve">Period 9 Forecast</t>
  </si>
  <si>
    <t xml:space="preserve">MAD</t>
  </si>
  <si>
    <t xml:space="preserve">Best For</t>
  </si>
  <si>
    <t xml:space="preserve">Stable demand</t>
  </si>
  <si>
    <t xml:space="preserve">Trending demand</t>
  </si>
  <si>
    <t xml:space="preserve">Exp Smoothing (α=0.3)</t>
  </si>
  <si>
    <t xml:space="preserve">Responsive forecasting</t>
  </si>
  <si>
    <t xml:space="preserve">Best Method (lowest MAD):</t>
  </si>
  <si>
    <t xml:space="preserve">EXAM-STYLE QUESTIONS:</t>
  </si>
  <si>
    <t xml:space="preserve">Q1: Using 3-period SMA, what is the forecast for Period 9?</t>
  </si>
  <si>
    <t xml:space="preserve">Answer:</t>
  </si>
  <si>
    <t xml:space="preserve">Q2: Using WMA with weights 0.5/0.3/0.2, what is the Period 9 forecast?</t>
  </si>
  <si>
    <t xml:space="preserve">Q3: Using Exp Smoothing (α=0.3), what is the Period 9 forecast?</t>
  </si>
  <si>
    <t xml:space="preserve">Q4: Which method has the lowest MAD (best accuracy)?</t>
  </si>
  <si>
    <t xml:space="preserve">Q5: If α increases to 0.5, will exp smoothing be MORE or LESS responsive?</t>
  </si>
  <si>
    <t xml:space="preserve">Q6: Why might WMA outperform SMA when demand is trending upward?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</si>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</sst>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6" style="0" width="20"/>
    <col collapsed="false" customWidth="true" hidden="false" outlineLevel="0" max="9" min="9" style="0" width="20"/>
    <col collapsed="false" customWidth="true" hidden="false" outlineLevel="0" max="14" min="14" style="0" width="24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15" hidden="false" customHeight="false" outlineLevel="0" collapsed="false">
      <c r="I6" s="1" t="s">
        <v>4</v>
      </c>
      <c r="J6" s="1"/>
      <c r="K6" s="1"/>
      <c r="L6" s="1"/>
      <c r="N6" s="1" t="s">
        <v>5</v>
      </c>
      <c r="O6" s="1"/>
      <c r="P6" s="1"/>
    </row>
    <row r="7" customFormat="false" ht="23.85" hidden="false" customHeight="true" outlineLevel="0" collapsed="false">
      <c r="I7" s="4" t="s">
        <v>6</v>
      </c>
      <c r="J7" s="4"/>
      <c r="K7" s="4"/>
      <c r="L7" s="4"/>
      <c r="N7" s="5" t="s">
        <v>7</v>
      </c>
      <c r="O7" s="5"/>
      <c r="P7" s="5"/>
    </row>
    <row r="8" customFormat="false" ht="23.85" hidden="false" customHeight="true" outlineLevel="0" collapsed="false">
      <c r="I8" s="4" t="s">
        <v>8</v>
      </c>
      <c r="J8" s="4"/>
      <c r="K8" s="4"/>
      <c r="L8" s="4"/>
      <c r="N8" s="6" t="s">
        <v>9</v>
      </c>
      <c r="O8" s="6"/>
      <c r="P8" s="7" t="n">
        <v>100</v>
      </c>
    </row>
    <row r="9" customFormat="false" ht="23.85" hidden="false" customHeight="true" outlineLevel="0" collapsed="false">
      <c r="A9" s="8" t="s">
        <v>10</v>
      </c>
      <c r="I9" s="4" t="s">
        <v>11</v>
      </c>
      <c r="J9" s="4"/>
      <c r="K9" s="4"/>
      <c r="L9" s="4"/>
      <c r="N9" s="6" t="s">
        <v>9</v>
      </c>
      <c r="O9" s="6"/>
      <c r="P9" s="7" t="n">
        <v>10</v>
      </c>
    </row>
    <row r="10" customFormat="false" ht="23.85" hidden="false" customHeight="true" outlineLevel="0" collapsed="false">
      <c r="I10" s="4" t="s">
        <v>12</v>
      </c>
      <c r="J10" s="4"/>
      <c r="K10" s="4"/>
      <c r="L10" s="4"/>
      <c r="N10" s="6" t="s">
        <v>13</v>
      </c>
      <c r="O10" s="6"/>
      <c r="P10" s="7" t="n">
        <v>131.6667</v>
      </c>
    </row>
    <row r="11" customFormat="false" ht="15" hidden="false" customHeight="false" outlineLevel="0" collapsed="false">
      <c r="A11" s="9" t="s">
        <v>14</v>
      </c>
      <c r="C11" s="10" t="s">
        <v>15</v>
      </c>
      <c r="D11" s="10"/>
      <c r="E11" s="10"/>
      <c r="F11" s="10"/>
      <c r="G11" s="10"/>
      <c r="H11" s="10"/>
      <c r="I11" s="10"/>
      <c r="J11" s="10"/>
      <c r="K11" s="10"/>
      <c r="L11" s="10"/>
      <c r="N11" s="6" t="s">
        <v>13</v>
      </c>
      <c r="O11" s="6"/>
      <c r="P11" s="7" t="n">
        <v>11.3333</v>
      </c>
    </row>
    <row r="12" customFormat="false" ht="15" hidden="false" customHeight="false" outlineLevel="0" collapsed="false">
      <c r="A12" s="9" t="s">
        <v>16</v>
      </c>
      <c r="B12" s="9" t="s">
        <v>17</v>
      </c>
      <c r="N12" s="6" t="s">
        <v>18</v>
      </c>
      <c r="O12" s="6"/>
      <c r="P12" s="7" t="n">
        <v>134</v>
      </c>
    </row>
    <row r="13" customFormat="false" ht="15" hidden="false" customHeight="false" outlineLevel="0" collapsed="false">
      <c r="A13" s="8" t="s">
        <v>19</v>
      </c>
      <c r="B13" s="8" t="n">
        <v>100</v>
      </c>
      <c r="N13" s="6" t="s">
        <v>18</v>
      </c>
      <c r="O13" s="6"/>
      <c r="P13" s="7" t="n">
        <v>10</v>
      </c>
    </row>
    <row r="14" customFormat="false" ht="15" hidden="false" customHeight="false" outlineLevel="0" collapsed="false">
      <c r="A14" s="8" t="s">
        <v>9</v>
      </c>
      <c r="B14" s="8" t="n">
        <v>110</v>
      </c>
    </row>
    <row r="15" customFormat="false" ht="15" hidden="false" customHeight="false" outlineLevel="0" collapsed="false">
      <c r="A15" s="8" t="s">
        <v>20</v>
      </c>
      <c r="B15" s="8" t="n">
        <v>105</v>
      </c>
    </row>
    <row r="16" customFormat="false" ht="15" hidden="false" customHeight="false" outlineLevel="0" collapsed="false">
      <c r="A16" s="8" t="s">
        <v>21</v>
      </c>
      <c r="B16" s="8" t="n">
        <v>120</v>
      </c>
    </row>
    <row r="17" customFormat="false" ht="15" hidden="false" customHeight="false" outlineLevel="0" collapsed="false">
      <c r="A17" s="8" t="s">
        <v>22</v>
      </c>
      <c r="B17" s="8" t="n">
        <v>115</v>
      </c>
    </row>
    <row r="18" customFormat="false" ht="15" hidden="false" customHeight="false" outlineLevel="0" collapsed="false">
      <c r="A18" s="8" t="s">
        <v>23</v>
      </c>
      <c r="B18" s="8" t="n">
        <v>125</v>
      </c>
    </row>
    <row r="19" customFormat="false" ht="15" hidden="false" customHeight="false" outlineLevel="0" collapsed="false">
      <c r="A19" s="8" t="s">
        <v>24</v>
      </c>
      <c r="B19" s="8" t="n">
        <v>130</v>
      </c>
    </row>
    <row r="20" customFormat="false" ht="15" hidden="false" customHeight="false" outlineLevel="0" collapsed="false">
      <c r="A20" s="8" t="s">
        <v>25</v>
      </c>
      <c r="B20" s="8" t="n">
        <v>140</v>
      </c>
    </row>
    <row r="21" customFormat="false" ht="15" hidden="false" customHeight="false" outlineLevel="0" collapsed="false">
      <c r="A21" s="8" t="s">
        <v>26</v>
      </c>
      <c r="B21" s="8" t="s">
        <v>27</v>
      </c>
      <c r="C21" s="8" t="s">
        <v>28</v>
      </c>
    </row>
    <row r="24" customFormat="false" ht="15" hidden="false" customHeight="false" outlineLevel="0" collapsed="false">
      <c r="A24" s="9" t="s">
        <v>29</v>
      </c>
    </row>
    <row r="25" customFormat="false" ht="15" hidden="false" customHeight="false" outlineLevel="0" collapsed="false">
      <c r="A25" s="8" t="s">
        <v>30</v>
      </c>
    </row>
    <row r="27" customFormat="false" ht="15" hidden="false" customHeight="false" outlineLevel="0" collapsed="false">
      <c r="A27" s="9" t="s">
        <v>16</v>
      </c>
      <c r="B27" s="9" t="s">
        <v>17</v>
      </c>
      <c r="C27" s="9" t="s">
        <v>31</v>
      </c>
      <c r="D27" s="9" t="s">
        <v>32</v>
      </c>
      <c r="E27" s="9" t="s">
        <v>33</v>
      </c>
    </row>
    <row r="28" customFormat="false" ht="15" hidden="false" customHeight="false" outlineLevel="0" collapsed="false">
      <c r="A28" s="8" t="s">
        <v>19</v>
      </c>
      <c r="B28" s="8" t="n">
        <v>100</v>
      </c>
      <c r="C28" s="8" t="s">
        <v>34</v>
      </c>
      <c r="D28" s="8" t="s">
        <v>34</v>
      </c>
      <c r="E28" s="8" t="s">
        <v>34</v>
      </c>
    </row>
    <row r="29" customFormat="false" ht="15" hidden="false" customHeight="false" outlineLevel="0" collapsed="false">
      <c r="A29" s="8" t="s">
        <v>9</v>
      </c>
      <c r="B29" s="8" t="n">
        <v>110</v>
      </c>
      <c r="C29" s="8" t="s">
        <v>34</v>
      </c>
      <c r="D29" s="8" t="s">
        <v>34</v>
      </c>
      <c r="E29" s="8" t="s">
        <v>34</v>
      </c>
    </row>
    <row r="30" customFormat="false" ht="15" hidden="false" customHeight="false" outlineLevel="0" collapsed="false">
      <c r="A30" s="8" t="s">
        <v>20</v>
      </c>
      <c r="B30" s="8" t="n">
        <v>105</v>
      </c>
      <c r="C30" s="8" t="s">
        <v>34</v>
      </c>
      <c r="D30" s="8" t="s">
        <v>34</v>
      </c>
      <c r="E30" s="8" t="s">
        <v>34</v>
      </c>
    </row>
    <row r="31" customFormat="false" ht="15" hidden="false" customHeight="false" outlineLevel="0" collapsed="false">
      <c r="A31" s="8" t="s">
        <v>21</v>
      </c>
      <c r="B31" s="8" t="n">
        <v>120</v>
      </c>
      <c r="C31" s="11"/>
      <c r="D31" s="11"/>
      <c r="E31" s="11"/>
    </row>
    <row r="32" customFormat="false" ht="15" hidden="false" customHeight="false" outlineLevel="0" collapsed="false">
      <c r="A32" s="8" t="s">
        <v>22</v>
      </c>
      <c r="B32" s="8" t="n">
        <v>115</v>
      </c>
      <c r="C32" s="11"/>
      <c r="D32" s="11"/>
      <c r="E32" s="11"/>
    </row>
    <row r="33" customFormat="false" ht="15" hidden="false" customHeight="false" outlineLevel="0" collapsed="false">
      <c r="A33" s="8" t="s">
        <v>23</v>
      </c>
      <c r="B33" s="8" t="n">
        <v>125</v>
      </c>
      <c r="C33" s="11"/>
      <c r="D33" s="11"/>
      <c r="E33" s="11"/>
    </row>
    <row r="34" customFormat="false" ht="15" hidden="false" customHeight="false" outlineLevel="0" collapsed="false">
      <c r="A34" s="8" t="s">
        <v>24</v>
      </c>
      <c r="B34" s="8" t="n">
        <v>130</v>
      </c>
      <c r="C34" s="11"/>
      <c r="D34" s="11"/>
      <c r="E34" s="11"/>
    </row>
    <row r="35" customFormat="false" ht="15" hidden="false" customHeight="false" outlineLevel="0" collapsed="false">
      <c r="A35" s="8" t="s">
        <v>25</v>
      </c>
      <c r="B35" s="8" t="n">
        <v>140</v>
      </c>
      <c r="C35" s="11"/>
      <c r="D35" s="11"/>
      <c r="E35" s="11"/>
    </row>
    <row r="36" customFormat="false" ht="15" hidden="false" customHeight="false" outlineLevel="0" collapsed="false">
      <c r="A36" s="8" t="s">
        <v>35</v>
      </c>
      <c r="C36" s="11"/>
    </row>
    <row r="37" customFormat="false" ht="15" hidden="false" customHeight="false" outlineLevel="0" collapsed="false">
      <c r="C37" s="8" t="s">
        <v>36</v>
      </c>
      <c r="D37" s="11"/>
    </row>
    <row r="40" customFormat="false" ht="15" hidden="false" customHeight="false" outlineLevel="0" collapsed="false">
      <c r="A40" s="8" t="s">
        <v>37</v>
      </c>
    </row>
    <row r="41" customFormat="false" ht="15" hidden="false" customHeight="false" outlineLevel="0" collapsed="false">
      <c r="A41" s="9" t="s">
        <v>38</v>
      </c>
    </row>
    <row r="42" customFormat="false" ht="15" hidden="false" customHeight="false" outlineLevel="0" collapsed="false">
      <c r="A42" s="8" t="s">
        <v>39</v>
      </c>
    </row>
    <row r="44" customFormat="false" ht="15" hidden="false" customHeight="false" outlineLevel="0" collapsed="false">
      <c r="A44" s="8" t="s">
        <v>16</v>
      </c>
      <c r="B44" s="8" t="s">
        <v>17</v>
      </c>
      <c r="C44" s="8" t="s">
        <v>40</v>
      </c>
      <c r="D44" s="8" t="s">
        <v>32</v>
      </c>
      <c r="E44" s="8" t="s">
        <v>33</v>
      </c>
    </row>
    <row r="45" customFormat="false" ht="15" hidden="false" customHeight="false" outlineLevel="0" collapsed="false">
      <c r="A45" s="9" t="s">
        <v>19</v>
      </c>
      <c r="B45" s="9" t="n">
        <v>100</v>
      </c>
      <c r="C45" s="9" t="s">
        <v>34</v>
      </c>
      <c r="D45" s="9" t="s">
        <v>34</v>
      </c>
      <c r="E45" s="9" t="s">
        <v>34</v>
      </c>
    </row>
    <row r="46" customFormat="false" ht="15" hidden="false" customHeight="false" outlineLevel="0" collapsed="false">
      <c r="A46" s="8" t="s">
        <v>9</v>
      </c>
      <c r="B46" s="8" t="n">
        <v>110</v>
      </c>
      <c r="C46" s="8" t="s">
        <v>34</v>
      </c>
      <c r="D46" s="8" t="s">
        <v>34</v>
      </c>
      <c r="E46" s="8" t="s">
        <v>34</v>
      </c>
    </row>
    <row r="47" customFormat="false" ht="15" hidden="false" customHeight="false" outlineLevel="0" collapsed="false">
      <c r="A47" s="8" t="s">
        <v>20</v>
      </c>
      <c r="B47" s="8" t="n">
        <v>105</v>
      </c>
      <c r="C47" s="8" t="s">
        <v>34</v>
      </c>
      <c r="D47" s="8" t="s">
        <v>34</v>
      </c>
      <c r="E47" s="8" t="s">
        <v>34</v>
      </c>
    </row>
    <row r="48" customFormat="false" ht="15" hidden="false" customHeight="false" outlineLevel="0" collapsed="false">
      <c r="A48" s="8" t="s">
        <v>21</v>
      </c>
      <c r="B48" s="8" t="n">
        <v>120</v>
      </c>
      <c r="C48" s="11"/>
      <c r="D48" s="11"/>
      <c r="E48" s="11"/>
    </row>
    <row r="49" customFormat="false" ht="15" hidden="false" customHeight="false" outlineLevel="0" collapsed="false">
      <c r="A49" s="8" t="s">
        <v>22</v>
      </c>
      <c r="B49" s="8" t="n">
        <v>115</v>
      </c>
      <c r="C49" s="11"/>
      <c r="D49" s="11"/>
      <c r="E49" s="11"/>
    </row>
    <row r="50" customFormat="false" ht="15" hidden="false" customHeight="false" outlineLevel="0" collapsed="false">
      <c r="A50" s="8" t="s">
        <v>23</v>
      </c>
      <c r="B50" s="8" t="n">
        <v>125</v>
      </c>
      <c r="C50" s="11"/>
      <c r="D50" s="11"/>
      <c r="E50" s="11"/>
    </row>
    <row r="51" customFormat="false" ht="15" hidden="false" customHeight="false" outlineLevel="0" collapsed="false">
      <c r="A51" s="8" t="s">
        <v>24</v>
      </c>
      <c r="B51" s="8" t="n">
        <v>130</v>
      </c>
      <c r="C51" s="11"/>
      <c r="D51" s="11"/>
      <c r="E51" s="11"/>
    </row>
    <row r="52" customFormat="false" ht="15" hidden="false" customHeight="false" outlineLevel="0" collapsed="false">
      <c r="A52" s="8" t="s">
        <v>25</v>
      </c>
      <c r="B52" s="8" t="n">
        <v>140</v>
      </c>
      <c r="C52" s="11"/>
      <c r="D52" s="11"/>
      <c r="E52" s="11"/>
    </row>
    <row r="53" customFormat="false" ht="15" hidden="false" customHeight="false" outlineLevel="0" collapsed="false">
      <c r="A53" s="8" t="s">
        <v>35</v>
      </c>
      <c r="C53" s="11"/>
    </row>
    <row r="54" customFormat="false" ht="15" hidden="false" customHeight="false" outlineLevel="0" collapsed="false">
      <c r="C54" s="8" t="s">
        <v>36</v>
      </c>
      <c r="D54" s="11"/>
    </row>
    <row r="57" customFormat="false" ht="15" hidden="false" customHeight="false" outlineLevel="0" collapsed="false">
      <c r="A57" s="8" t="s">
        <v>41</v>
      </c>
    </row>
    <row r="58" customFormat="false" ht="15" hidden="false" customHeight="false" outlineLevel="0" collapsed="false">
      <c r="A58" s="8" t="s">
        <v>42</v>
      </c>
    </row>
    <row r="59" customFormat="false" ht="15" hidden="false" customHeight="false" outlineLevel="0" collapsed="false">
      <c r="A59" s="9" t="s">
        <v>43</v>
      </c>
    </row>
    <row r="61" customFormat="false" ht="15" hidden="false" customHeight="false" outlineLevel="0" collapsed="false">
      <c r="A61" s="8" t="s">
        <v>16</v>
      </c>
      <c r="B61" s="8" t="s">
        <v>17</v>
      </c>
      <c r="C61" s="8" t="s">
        <v>44</v>
      </c>
      <c r="D61" s="8" t="s">
        <v>32</v>
      </c>
      <c r="E61" s="8" t="s">
        <v>33</v>
      </c>
      <c r="F61" s="8" t="s">
        <v>45</v>
      </c>
    </row>
    <row r="62" customFormat="false" ht="15" hidden="false" customHeight="false" outlineLevel="0" collapsed="false">
      <c r="A62" s="8" t="s">
        <v>19</v>
      </c>
      <c r="B62" s="8" t="n">
        <v>100</v>
      </c>
      <c r="C62" s="8" t="n">
        <v>100</v>
      </c>
      <c r="D62" s="8" t="s">
        <v>34</v>
      </c>
      <c r="E62" s="8" t="s">
        <v>34</v>
      </c>
      <c r="F62" s="8" t="s">
        <v>46</v>
      </c>
    </row>
    <row r="63" customFormat="false" ht="15" hidden="false" customHeight="false" outlineLevel="0" collapsed="false">
      <c r="A63" s="9" t="s">
        <v>9</v>
      </c>
      <c r="B63" s="9" t="n">
        <v>110</v>
      </c>
      <c r="C63" s="12"/>
      <c r="D63" s="12"/>
      <c r="E63" s="12"/>
      <c r="F63" s="9" t="s">
        <v>47</v>
      </c>
    </row>
    <row r="64" customFormat="false" ht="15" hidden="false" customHeight="false" outlineLevel="0" collapsed="false">
      <c r="A64" s="8" t="s">
        <v>20</v>
      </c>
      <c r="B64" s="8" t="n">
        <v>105</v>
      </c>
      <c r="C64" s="11"/>
      <c r="D64" s="11"/>
      <c r="E64" s="11"/>
    </row>
    <row r="65" customFormat="false" ht="15" hidden="false" customHeight="false" outlineLevel="0" collapsed="false">
      <c r="A65" s="8" t="s">
        <v>21</v>
      </c>
      <c r="B65" s="8" t="n">
        <v>120</v>
      </c>
      <c r="C65" s="11"/>
      <c r="D65" s="11"/>
      <c r="E65" s="11"/>
    </row>
    <row r="66" customFormat="false" ht="15" hidden="false" customHeight="false" outlineLevel="0" collapsed="false">
      <c r="A66" s="8" t="s">
        <v>22</v>
      </c>
      <c r="B66" s="8" t="n">
        <v>115</v>
      </c>
      <c r="C66" s="11"/>
      <c r="D66" s="11"/>
      <c r="E66" s="11"/>
    </row>
    <row r="67" customFormat="false" ht="15" hidden="false" customHeight="false" outlineLevel="0" collapsed="false">
      <c r="A67" s="8" t="s">
        <v>23</v>
      </c>
      <c r="B67" s="8" t="n">
        <v>125</v>
      </c>
      <c r="C67" s="11"/>
      <c r="D67" s="11"/>
      <c r="E67" s="11"/>
    </row>
    <row r="68" customFormat="false" ht="15" hidden="false" customHeight="false" outlineLevel="0" collapsed="false">
      <c r="A68" s="8" t="s">
        <v>24</v>
      </c>
      <c r="B68" s="8" t="n">
        <v>130</v>
      </c>
      <c r="C68" s="11"/>
      <c r="D68" s="11"/>
      <c r="E68" s="11"/>
    </row>
    <row r="69" customFormat="false" ht="15" hidden="false" customHeight="false" outlineLevel="0" collapsed="false">
      <c r="A69" s="8" t="s">
        <v>25</v>
      </c>
      <c r="B69" s="8" t="n">
        <v>140</v>
      </c>
      <c r="C69" s="11"/>
      <c r="D69" s="11"/>
      <c r="E69" s="11"/>
    </row>
    <row r="70" customFormat="false" ht="15" hidden="false" customHeight="false" outlineLevel="0" collapsed="false">
      <c r="A70" s="8" t="s">
        <v>35</v>
      </c>
      <c r="C70" s="11"/>
    </row>
    <row r="71" customFormat="false" ht="15" hidden="false" customHeight="false" outlineLevel="0" collapsed="false">
      <c r="C71" s="8" t="s">
        <v>36</v>
      </c>
      <c r="D71" s="11"/>
    </row>
    <row r="74" customFormat="false" ht="15" hidden="false" customHeight="false" outlineLevel="0" collapsed="false">
      <c r="A74" s="8" t="s">
        <v>48</v>
      </c>
    </row>
    <row r="75" customFormat="false" ht="15" hidden="false" customHeight="false" outlineLevel="0" collapsed="false">
      <c r="A75" s="8" t="s">
        <v>49</v>
      </c>
      <c r="B75" s="8" t="s">
        <v>50</v>
      </c>
      <c r="C75" s="8" t="s">
        <v>51</v>
      </c>
      <c r="D75" s="8" t="s">
        <v>52</v>
      </c>
    </row>
    <row r="76" customFormat="false" ht="15" hidden="false" customHeight="false" outlineLevel="0" collapsed="false">
      <c r="A76" s="9" t="s">
        <v>13</v>
      </c>
      <c r="B76" s="12"/>
      <c r="C76" s="12"/>
      <c r="D76" s="9" t="s">
        <v>53</v>
      </c>
    </row>
    <row r="77" customFormat="false" ht="15" hidden="false" customHeight="false" outlineLevel="0" collapsed="false">
      <c r="A77" s="9" t="s">
        <v>18</v>
      </c>
      <c r="B77" s="12"/>
      <c r="C77" s="12"/>
      <c r="D77" s="9" t="s">
        <v>54</v>
      </c>
    </row>
    <row r="78" customFormat="false" ht="15" hidden="false" customHeight="false" outlineLevel="0" collapsed="false">
      <c r="A78" s="8" t="s">
        <v>55</v>
      </c>
      <c r="B78" s="11"/>
      <c r="C78" s="11"/>
      <c r="D78" s="8" t="s">
        <v>56</v>
      </c>
    </row>
    <row r="80" customFormat="false" ht="15" hidden="false" customHeight="false" outlineLevel="0" collapsed="false">
      <c r="A80" s="8" t="s">
        <v>57</v>
      </c>
      <c r="B80" s="11"/>
    </row>
    <row r="83" customFormat="false" ht="15" hidden="false" customHeight="false" outlineLevel="0" collapsed="false">
      <c r="A83" s="8" t="s">
        <v>58</v>
      </c>
    </row>
    <row r="85" customFormat="false" ht="15" hidden="false" customHeight="false" outlineLevel="0" collapsed="false">
      <c r="A85" s="9" t="s">
        <v>59</v>
      </c>
      <c r="F85" s="9" t="s">
        <v>60</v>
      </c>
    </row>
    <row r="86" customFormat="false" ht="15" hidden="false" customHeight="false" outlineLevel="0" collapsed="false">
      <c r="A86" s="8" t="s">
        <v>61</v>
      </c>
      <c r="F86" s="8" t="s">
        <v>60</v>
      </c>
    </row>
    <row r="87" customFormat="false" ht="15" hidden="false" customHeight="false" outlineLevel="0" collapsed="false">
      <c r="A87" s="8" t="s">
        <v>62</v>
      </c>
      <c r="F87" s="8" t="s">
        <v>60</v>
      </c>
    </row>
    <row r="88" customFormat="false" ht="15" hidden="false" customHeight="false" outlineLevel="0" collapsed="false">
      <c r="A88" s="8" t="s">
        <v>63</v>
      </c>
      <c r="F88" s="8" t="s">
        <v>60</v>
      </c>
    </row>
    <row r="89" customFormat="false" ht="15" hidden="false" customHeight="false" outlineLevel="0" collapsed="false">
      <c r="A89" s="8" t="s">
        <v>64</v>
      </c>
      <c r="F89" s="8" t="s">
        <v>60</v>
      </c>
    </row>
    <row r="90" customFormat="false" ht="15" hidden="false" customHeight="false" outlineLevel="0" collapsed="false">
      <c r="A90" s="8" t="s">
        <v>65</v>
      </c>
      <c r="F90" s="8" t="s">
        <v>60</v>
      </c>
    </row>
  </sheetData>
  <mergeCells count="18">
    <mergeCell ref="A1:L1"/>
    <mergeCell ref="A2:L2"/>
    <mergeCell ref="A3:L3"/>
    <mergeCell ref="A4:L4"/>
    <mergeCell ref="I6:L6"/>
    <mergeCell ref="N6:P6"/>
    <mergeCell ref="I7:L7"/>
    <mergeCell ref="N7:P7"/>
    <mergeCell ref="I8:L8"/>
    <mergeCell ref="N8:O8"/>
    <mergeCell ref="I9:L9"/>
    <mergeCell ref="N9:O9"/>
    <mergeCell ref="I10:L10"/>
    <mergeCell ref="N10:O10"/>
    <mergeCell ref="C11:L11"/>
    <mergeCell ref="N11:O11"/>
    <mergeCell ref="N12:O12"/>
    <mergeCell ref="N13:O1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6" style="0" width="20"/>
    <col collapsed="false" customWidth="true" hidden="false" outlineLevel="0" max="9" min="9" style="0" width="20"/>
    <col collapsed="false" customWidth="true" hidden="false" outlineLevel="0" max="14" min="14" style="0" width="24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 t="s">
        <v>66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15" hidden="false" customHeight="false" outlineLevel="0" collapsed="false">
      <c r="I6" s="1" t="s">
        <v>4</v>
      </c>
      <c r="J6" s="1"/>
      <c r="K6" s="1"/>
      <c r="L6" s="1"/>
      <c r="N6" s="1" t="s">
        <v>5</v>
      </c>
      <c r="O6" s="1"/>
      <c r="P6" s="1"/>
    </row>
    <row r="7" customFormat="false" ht="23.85" hidden="false" customHeight="true" outlineLevel="0" collapsed="false">
      <c r="I7" s="4" t="s">
        <v>6</v>
      </c>
      <c r="J7" s="4"/>
      <c r="K7" s="4"/>
      <c r="L7" s="4"/>
      <c r="N7" s="5" t="s">
        <v>7</v>
      </c>
      <c r="O7" s="5"/>
      <c r="P7" s="5"/>
    </row>
    <row r="8" customFormat="false" ht="23.85" hidden="false" customHeight="true" outlineLevel="0" collapsed="false">
      <c r="I8" s="4" t="s">
        <v>8</v>
      </c>
      <c r="J8" s="4"/>
      <c r="K8" s="4"/>
      <c r="L8" s="4"/>
      <c r="N8" s="6" t="s">
        <v>9</v>
      </c>
      <c r="O8" s="6"/>
      <c r="P8" s="7" t="n">
        <v>100</v>
      </c>
    </row>
    <row r="9" customFormat="false" ht="23.85" hidden="false" customHeight="true" outlineLevel="0" collapsed="false">
      <c r="A9" s="8" t="s">
        <v>10</v>
      </c>
      <c r="I9" s="4" t="s">
        <v>11</v>
      </c>
      <c r="J9" s="4"/>
      <c r="K9" s="4"/>
      <c r="L9" s="4"/>
      <c r="N9" s="6" t="s">
        <v>9</v>
      </c>
      <c r="O9" s="6"/>
      <c r="P9" s="7" t="n">
        <v>10</v>
      </c>
    </row>
    <row r="10" customFormat="false" ht="23.85" hidden="false" customHeight="true" outlineLevel="0" collapsed="false">
      <c r="I10" s="4" t="s">
        <v>12</v>
      </c>
      <c r="J10" s="4"/>
      <c r="K10" s="4"/>
      <c r="L10" s="4"/>
      <c r="N10" s="6" t="s">
        <v>13</v>
      </c>
      <c r="O10" s="6"/>
      <c r="P10" s="7" t="n">
        <v>131.6667</v>
      </c>
    </row>
    <row r="11" customFormat="false" ht="15" hidden="false" customHeight="false" outlineLevel="0" collapsed="false">
      <c r="A11" s="9" t="s">
        <v>14</v>
      </c>
      <c r="C11" s="10" t="s">
        <v>15</v>
      </c>
      <c r="D11" s="10"/>
      <c r="E11" s="10"/>
      <c r="F11" s="10"/>
      <c r="G11" s="10"/>
      <c r="H11" s="10"/>
      <c r="I11" s="10"/>
      <c r="J11" s="10"/>
      <c r="K11" s="10"/>
      <c r="L11" s="10"/>
      <c r="N11" s="6" t="s">
        <v>13</v>
      </c>
      <c r="O11" s="6"/>
      <c r="P11" s="7" t="n">
        <v>11.3333</v>
      </c>
    </row>
    <row r="12" customFormat="false" ht="15" hidden="false" customHeight="false" outlineLevel="0" collapsed="false">
      <c r="A12" s="9" t="s">
        <v>16</v>
      </c>
      <c r="B12" s="9" t="s">
        <v>17</v>
      </c>
      <c r="N12" s="6" t="s">
        <v>18</v>
      </c>
      <c r="O12" s="6"/>
      <c r="P12" s="7" t="n">
        <v>134</v>
      </c>
    </row>
    <row r="13" customFormat="false" ht="15" hidden="false" customHeight="false" outlineLevel="0" collapsed="false">
      <c r="A13" s="8" t="s">
        <v>19</v>
      </c>
      <c r="B13" s="8" t="n">
        <v>100</v>
      </c>
      <c r="N13" s="6" t="s">
        <v>18</v>
      </c>
      <c r="O13" s="6"/>
      <c r="P13" s="7" t="n">
        <v>10</v>
      </c>
    </row>
    <row r="14" customFormat="false" ht="15" hidden="false" customHeight="false" outlineLevel="0" collapsed="false">
      <c r="A14" s="8" t="s">
        <v>9</v>
      </c>
      <c r="B14" s="8" t="n">
        <v>110</v>
      </c>
    </row>
    <row r="15" customFormat="false" ht="15" hidden="false" customHeight="false" outlineLevel="0" collapsed="false">
      <c r="A15" s="8" t="s">
        <v>20</v>
      </c>
      <c r="B15" s="8" t="n">
        <v>105</v>
      </c>
    </row>
    <row r="16" customFormat="false" ht="15" hidden="false" customHeight="false" outlineLevel="0" collapsed="false">
      <c r="A16" s="8" t="s">
        <v>21</v>
      </c>
      <c r="B16" s="8" t="n">
        <v>120</v>
      </c>
    </row>
    <row r="17" customFormat="false" ht="15" hidden="false" customHeight="false" outlineLevel="0" collapsed="false">
      <c r="A17" s="8" t="s">
        <v>22</v>
      </c>
      <c r="B17" s="8" t="n">
        <v>115</v>
      </c>
    </row>
    <row r="18" customFormat="false" ht="15" hidden="false" customHeight="false" outlineLevel="0" collapsed="false">
      <c r="A18" s="8" t="s">
        <v>23</v>
      </c>
      <c r="B18" s="8" t="n">
        <v>125</v>
      </c>
    </row>
    <row r="19" customFormat="false" ht="15" hidden="false" customHeight="false" outlineLevel="0" collapsed="false">
      <c r="A19" s="8" t="s">
        <v>24</v>
      </c>
      <c r="B19" s="8" t="n">
        <v>130</v>
      </c>
    </row>
    <row r="20" customFormat="false" ht="15" hidden="false" customHeight="false" outlineLevel="0" collapsed="false">
      <c r="A20" s="8" t="s">
        <v>25</v>
      </c>
      <c r="B20" s="8" t="n">
        <v>140</v>
      </c>
    </row>
    <row r="21" customFormat="false" ht="15" hidden="false" customHeight="false" outlineLevel="0" collapsed="false">
      <c r="A21" s="8" t="s">
        <v>26</v>
      </c>
      <c r="B21" s="8" t="s">
        <v>27</v>
      </c>
      <c r="C21" s="8" t="s">
        <v>28</v>
      </c>
    </row>
    <row r="24" customFormat="false" ht="15" hidden="false" customHeight="false" outlineLevel="0" collapsed="false">
      <c r="A24" s="9" t="s">
        <v>29</v>
      </c>
    </row>
    <row r="25" customFormat="false" ht="15" hidden="false" customHeight="false" outlineLevel="0" collapsed="false">
      <c r="A25" s="8" t="s">
        <v>30</v>
      </c>
    </row>
    <row r="27" customFormat="false" ht="15" hidden="false" customHeight="false" outlineLevel="0" collapsed="false">
      <c r="A27" s="9" t="s">
        <v>16</v>
      </c>
      <c r="B27" s="9" t="s">
        <v>17</v>
      </c>
      <c r="C27" s="9" t="s">
        <v>31</v>
      </c>
      <c r="D27" s="9" t="s">
        <v>32</v>
      </c>
      <c r="E27" s="9" t="s">
        <v>33</v>
      </c>
    </row>
    <row r="28" customFormat="false" ht="15" hidden="false" customHeight="false" outlineLevel="0" collapsed="false">
      <c r="A28" s="8" t="s">
        <v>19</v>
      </c>
      <c r="B28" s="8" t="n">
        <v>100</v>
      </c>
      <c r="C28" s="8" t="s">
        <v>34</v>
      </c>
      <c r="D28" s="8" t="s">
        <v>34</v>
      </c>
      <c r="E28" s="8" t="s">
        <v>34</v>
      </c>
    </row>
    <row r="29" customFormat="false" ht="15" hidden="false" customHeight="false" outlineLevel="0" collapsed="false">
      <c r="A29" s="8" t="s">
        <v>9</v>
      </c>
      <c r="B29" s="8" t="n">
        <v>110</v>
      </c>
      <c r="C29" s="8" t="s">
        <v>34</v>
      </c>
      <c r="D29" s="8" t="s">
        <v>34</v>
      </c>
      <c r="E29" s="8" t="s">
        <v>34</v>
      </c>
    </row>
    <row r="30" customFormat="false" ht="15" hidden="false" customHeight="false" outlineLevel="0" collapsed="false">
      <c r="A30" s="8" t="s">
        <v>20</v>
      </c>
      <c r="B30" s="8" t="n">
        <v>105</v>
      </c>
      <c r="C30" s="8" t="s">
        <v>34</v>
      </c>
      <c r="D30" s="8" t="s">
        <v>34</v>
      </c>
      <c r="E30" s="8" t="s">
        <v>34</v>
      </c>
    </row>
    <row r="31" customFormat="false" ht="15" hidden="false" customHeight="false" outlineLevel="0" collapsed="false">
      <c r="A31" s="8" t="s">
        <v>21</v>
      </c>
      <c r="B31" s="8" t="n">
        <v>120</v>
      </c>
      <c r="C31" s="11" t="n">
        <f aca="false">AVERAGE(B28:B30)</f>
        <v>105</v>
      </c>
      <c r="D31" s="11" t="n">
        <f aca="false">B31-C31</f>
        <v>15</v>
      </c>
      <c r="E31" s="11" t="n">
        <f aca="false">ABS(D31)</f>
        <v>15</v>
      </c>
    </row>
    <row r="32" customFormat="false" ht="15" hidden="false" customHeight="false" outlineLevel="0" collapsed="false">
      <c r="A32" s="8" t="s">
        <v>22</v>
      </c>
      <c r="B32" s="8" t="n">
        <v>115</v>
      </c>
      <c r="C32" s="11" t="n">
        <f aca="false">AVERAGE(B29:B31)</f>
        <v>111.666666666667</v>
      </c>
      <c r="D32" s="11" t="n">
        <f aca="false">B32-C32</f>
        <v>3.33333333333333</v>
      </c>
      <c r="E32" s="11" t="n">
        <f aca="false">ABS(D32)</f>
        <v>3.33333333333333</v>
      </c>
    </row>
    <row r="33" customFormat="false" ht="15" hidden="false" customHeight="false" outlineLevel="0" collapsed="false">
      <c r="A33" s="8" t="s">
        <v>23</v>
      </c>
      <c r="B33" s="8" t="n">
        <v>125</v>
      </c>
      <c r="C33" s="11" t="n">
        <f aca="false">AVERAGE(B30:B32)</f>
        <v>113.333333333333</v>
      </c>
      <c r="D33" s="11" t="n">
        <f aca="false">B33-C33</f>
        <v>11.6666666666667</v>
      </c>
      <c r="E33" s="11" t="n">
        <f aca="false">ABS(D33)</f>
        <v>11.6666666666667</v>
      </c>
    </row>
    <row r="34" customFormat="false" ht="15" hidden="false" customHeight="false" outlineLevel="0" collapsed="false">
      <c r="A34" s="8" t="s">
        <v>24</v>
      </c>
      <c r="B34" s="8" t="n">
        <v>130</v>
      </c>
      <c r="C34" s="11" t="n">
        <f aca="false">AVERAGE(B31:B33)</f>
        <v>120</v>
      </c>
      <c r="D34" s="11" t="n">
        <f aca="false">B34-C34</f>
        <v>10</v>
      </c>
      <c r="E34" s="11" t="n">
        <f aca="false">ABS(D34)</f>
        <v>10</v>
      </c>
    </row>
    <row r="35" customFormat="false" ht="15" hidden="false" customHeight="false" outlineLevel="0" collapsed="false">
      <c r="A35" s="8" t="s">
        <v>25</v>
      </c>
      <c r="B35" s="8" t="n">
        <v>140</v>
      </c>
      <c r="C35" s="11" t="n">
        <f aca="false">AVERAGE(B32:B34)</f>
        <v>123.333333333333</v>
      </c>
      <c r="D35" s="11" t="n">
        <f aca="false">B35-C35</f>
        <v>16.6666666666667</v>
      </c>
      <c r="E35" s="11" t="n">
        <f aca="false">ABS(D35)</f>
        <v>16.6666666666667</v>
      </c>
    </row>
    <row r="36" customFormat="false" ht="15" hidden="false" customHeight="false" outlineLevel="0" collapsed="false">
      <c r="A36" s="8" t="s">
        <v>35</v>
      </c>
      <c r="C36" s="11" t="n">
        <f aca="false">AVERAGE(B33:B35)</f>
        <v>131.666666666667</v>
      </c>
    </row>
    <row r="37" customFormat="false" ht="15" hidden="false" customHeight="false" outlineLevel="0" collapsed="false">
      <c r="C37" s="8" t="s">
        <v>36</v>
      </c>
      <c r="D37" s="11" t="n">
        <f aca="false">AVERAGE(E31:E35)</f>
        <v>11.3333333333333</v>
      </c>
    </row>
    <row r="40" customFormat="false" ht="15" hidden="false" customHeight="false" outlineLevel="0" collapsed="false">
      <c r="A40" s="8" t="s">
        <v>37</v>
      </c>
    </row>
    <row r="41" customFormat="false" ht="15" hidden="false" customHeight="false" outlineLevel="0" collapsed="false">
      <c r="A41" s="9" t="s">
        <v>38</v>
      </c>
    </row>
    <row r="42" customFormat="false" ht="15" hidden="false" customHeight="false" outlineLevel="0" collapsed="false">
      <c r="A42" s="8" t="s">
        <v>39</v>
      </c>
    </row>
    <row r="44" customFormat="false" ht="15" hidden="false" customHeight="false" outlineLevel="0" collapsed="false">
      <c r="A44" s="8" t="s">
        <v>16</v>
      </c>
      <c r="B44" s="8" t="s">
        <v>17</v>
      </c>
      <c r="C44" s="8" t="s">
        <v>40</v>
      </c>
      <c r="D44" s="8" t="s">
        <v>32</v>
      </c>
      <c r="E44" s="8" t="s">
        <v>33</v>
      </c>
    </row>
    <row r="45" customFormat="false" ht="15" hidden="false" customHeight="false" outlineLevel="0" collapsed="false">
      <c r="A45" s="9" t="s">
        <v>19</v>
      </c>
      <c r="B45" s="9" t="n">
        <v>100</v>
      </c>
      <c r="C45" s="9" t="s">
        <v>34</v>
      </c>
      <c r="D45" s="9" t="s">
        <v>34</v>
      </c>
      <c r="E45" s="9" t="s">
        <v>34</v>
      </c>
    </row>
    <row r="46" customFormat="false" ht="15" hidden="false" customHeight="false" outlineLevel="0" collapsed="false">
      <c r="A46" s="8" t="s">
        <v>9</v>
      </c>
      <c r="B46" s="8" t="n">
        <v>110</v>
      </c>
      <c r="C46" s="8" t="s">
        <v>34</v>
      </c>
      <c r="D46" s="8" t="s">
        <v>34</v>
      </c>
      <c r="E46" s="8" t="s">
        <v>34</v>
      </c>
    </row>
    <row r="47" customFormat="false" ht="15" hidden="false" customHeight="false" outlineLevel="0" collapsed="false">
      <c r="A47" s="8" t="s">
        <v>20</v>
      </c>
      <c r="B47" s="8" t="n">
        <v>105</v>
      </c>
      <c r="C47" s="8" t="s">
        <v>34</v>
      </c>
      <c r="D47" s="8" t="s">
        <v>34</v>
      </c>
      <c r="E47" s="8" t="s">
        <v>34</v>
      </c>
    </row>
    <row r="48" customFormat="false" ht="15" hidden="false" customHeight="false" outlineLevel="0" collapsed="false">
      <c r="A48" s="8" t="s">
        <v>21</v>
      </c>
      <c r="B48" s="8" t="n">
        <v>120</v>
      </c>
      <c r="C48" s="11" t="n">
        <f aca="false">0.5*B47+0.3*B46+0.2*B45</f>
        <v>105.5</v>
      </c>
      <c r="D48" s="11" t="n">
        <f aca="false">B48-C48</f>
        <v>14.5</v>
      </c>
      <c r="E48" s="11" t="n">
        <f aca="false">ABS(D48)</f>
        <v>14.5</v>
      </c>
    </row>
    <row r="49" customFormat="false" ht="15" hidden="false" customHeight="false" outlineLevel="0" collapsed="false">
      <c r="A49" s="8" t="s">
        <v>22</v>
      </c>
      <c r="B49" s="8" t="n">
        <v>115</v>
      </c>
      <c r="C49" s="11" t="n">
        <f aca="false">0.5*B48+0.3*B47+0.2*B46</f>
        <v>113.5</v>
      </c>
      <c r="D49" s="11" t="n">
        <f aca="false">B49-C49</f>
        <v>1.5</v>
      </c>
      <c r="E49" s="11" t="n">
        <f aca="false">ABS(D49)</f>
        <v>1.5</v>
      </c>
    </row>
    <row r="50" customFormat="false" ht="15" hidden="false" customHeight="false" outlineLevel="0" collapsed="false">
      <c r="A50" s="8" t="s">
        <v>23</v>
      </c>
      <c r="B50" s="8" t="n">
        <v>125</v>
      </c>
      <c r="C50" s="11" t="n">
        <f aca="false">0.5*B49+0.3*B48+0.2*B47</f>
        <v>114.5</v>
      </c>
      <c r="D50" s="11" t="n">
        <f aca="false">B50-C50</f>
        <v>10.5</v>
      </c>
      <c r="E50" s="11" t="n">
        <f aca="false">ABS(D50)</f>
        <v>10.5</v>
      </c>
    </row>
    <row r="51" customFormat="false" ht="15" hidden="false" customHeight="false" outlineLevel="0" collapsed="false">
      <c r="A51" s="8" t="s">
        <v>24</v>
      </c>
      <c r="B51" s="8" t="n">
        <v>130</v>
      </c>
      <c r="C51" s="11" t="n">
        <f aca="false">0.5*B50+0.3*B49+0.2*B48</f>
        <v>121</v>
      </c>
      <c r="D51" s="11" t="n">
        <f aca="false">B51-C51</f>
        <v>9</v>
      </c>
      <c r="E51" s="11" t="n">
        <f aca="false">ABS(D51)</f>
        <v>9</v>
      </c>
    </row>
    <row r="52" customFormat="false" ht="15" hidden="false" customHeight="false" outlineLevel="0" collapsed="false">
      <c r="A52" s="8" t="s">
        <v>25</v>
      </c>
      <c r="B52" s="8" t="n">
        <v>140</v>
      </c>
      <c r="C52" s="11" t="n">
        <f aca="false">0.5*B51+0.3*B50+0.2*B49</f>
        <v>125.5</v>
      </c>
      <c r="D52" s="11" t="n">
        <f aca="false">B52-C52</f>
        <v>14.5</v>
      </c>
      <c r="E52" s="11" t="n">
        <f aca="false">ABS(D52)</f>
        <v>14.5</v>
      </c>
    </row>
    <row r="53" customFormat="false" ht="15" hidden="false" customHeight="false" outlineLevel="0" collapsed="false">
      <c r="A53" s="8" t="s">
        <v>35</v>
      </c>
      <c r="C53" s="11" t="n">
        <f aca="false">0.5*B52+0.3*B51+0.2*B50</f>
        <v>134</v>
      </c>
    </row>
    <row r="54" customFormat="false" ht="15" hidden="false" customHeight="false" outlineLevel="0" collapsed="false">
      <c r="C54" s="8" t="s">
        <v>36</v>
      </c>
      <c r="D54" s="11" t="n">
        <f aca="false">AVERAGE(E48:E52)</f>
        <v>10</v>
      </c>
    </row>
    <row r="57" customFormat="false" ht="15" hidden="false" customHeight="false" outlineLevel="0" collapsed="false">
      <c r="A57" s="8" t="s">
        <v>41</v>
      </c>
    </row>
    <row r="58" customFormat="false" ht="15" hidden="false" customHeight="false" outlineLevel="0" collapsed="false">
      <c r="A58" s="8" t="s">
        <v>42</v>
      </c>
    </row>
    <row r="59" customFormat="false" ht="15" hidden="false" customHeight="false" outlineLevel="0" collapsed="false">
      <c r="A59" s="9" t="s">
        <v>43</v>
      </c>
    </row>
    <row r="61" customFormat="false" ht="15" hidden="false" customHeight="false" outlineLevel="0" collapsed="false">
      <c r="A61" s="8" t="s">
        <v>16</v>
      </c>
      <c r="B61" s="8" t="s">
        <v>17</v>
      </c>
      <c r="C61" s="8" t="s">
        <v>44</v>
      </c>
      <c r="D61" s="8" t="s">
        <v>32</v>
      </c>
      <c r="E61" s="8" t="s">
        <v>33</v>
      </c>
      <c r="F61" s="8" t="s">
        <v>45</v>
      </c>
    </row>
    <row r="62" customFormat="false" ht="15" hidden="false" customHeight="false" outlineLevel="0" collapsed="false">
      <c r="A62" s="8" t="s">
        <v>19</v>
      </c>
      <c r="B62" s="8" t="n">
        <v>100</v>
      </c>
      <c r="C62" s="8" t="n">
        <v>100</v>
      </c>
      <c r="D62" s="8" t="s">
        <v>34</v>
      </c>
      <c r="E62" s="8" t="s">
        <v>34</v>
      </c>
      <c r="F62" s="8" t="s">
        <v>46</v>
      </c>
    </row>
    <row r="63" customFormat="false" ht="15" hidden="false" customHeight="false" outlineLevel="0" collapsed="false">
      <c r="A63" s="9" t="s">
        <v>9</v>
      </c>
      <c r="B63" s="9" t="n">
        <v>110</v>
      </c>
      <c r="C63" s="12" t="n">
        <f aca="false">0.3*B62+0.7*C62</f>
        <v>100</v>
      </c>
      <c r="D63" s="12" t="n">
        <f aca="false">B63-C63</f>
        <v>10</v>
      </c>
      <c r="E63" s="12" t="n">
        <f aca="false">ABS(D63)</f>
        <v>10</v>
      </c>
      <c r="F63" s="9" t="s">
        <v>47</v>
      </c>
    </row>
    <row r="64" customFormat="false" ht="15" hidden="false" customHeight="false" outlineLevel="0" collapsed="false">
      <c r="A64" s="8" t="s">
        <v>20</v>
      </c>
      <c r="B64" s="8" t="n">
        <v>105</v>
      </c>
      <c r="C64" s="11" t="n">
        <f aca="false">0.3*B63+0.7*C63</f>
        <v>103</v>
      </c>
      <c r="D64" s="11" t="n">
        <f aca="false">B64-C64</f>
        <v>2</v>
      </c>
      <c r="E64" s="11" t="n">
        <f aca="false">ABS(D64)</f>
        <v>2</v>
      </c>
    </row>
    <row r="65" customFormat="false" ht="15" hidden="false" customHeight="false" outlineLevel="0" collapsed="false">
      <c r="A65" s="8" t="s">
        <v>21</v>
      </c>
      <c r="B65" s="8" t="n">
        <v>120</v>
      </c>
      <c r="C65" s="11" t="n">
        <f aca="false">0.3*B64+0.7*C64</f>
        <v>103.6</v>
      </c>
      <c r="D65" s="11" t="n">
        <f aca="false">B65-C65</f>
        <v>16.4</v>
      </c>
      <c r="E65" s="11" t="n">
        <f aca="false">ABS(D65)</f>
        <v>16.4</v>
      </c>
    </row>
    <row r="66" customFormat="false" ht="15" hidden="false" customHeight="false" outlineLevel="0" collapsed="false">
      <c r="A66" s="8" t="s">
        <v>22</v>
      </c>
      <c r="B66" s="8" t="n">
        <v>115</v>
      </c>
      <c r="C66" s="11" t="n">
        <f aca="false">0.3*B65+0.7*C65</f>
        <v>108.52</v>
      </c>
      <c r="D66" s="11" t="n">
        <f aca="false">B66-C66</f>
        <v>6.48</v>
      </c>
      <c r="E66" s="11" t="n">
        <f aca="false">ABS(D66)</f>
        <v>6.48</v>
      </c>
    </row>
    <row r="67" customFormat="false" ht="15" hidden="false" customHeight="false" outlineLevel="0" collapsed="false">
      <c r="A67" s="8" t="s">
        <v>23</v>
      </c>
      <c r="B67" s="8" t="n">
        <v>125</v>
      </c>
      <c r="C67" s="11" t="n">
        <f aca="false">0.3*B66+0.7*C66</f>
        <v>110.464</v>
      </c>
      <c r="D67" s="11" t="n">
        <f aca="false">B67-C67</f>
        <v>14.536</v>
      </c>
      <c r="E67" s="11" t="n">
        <f aca="false">ABS(D67)</f>
        <v>14.536</v>
      </c>
    </row>
    <row r="68" customFormat="false" ht="15" hidden="false" customHeight="false" outlineLevel="0" collapsed="false">
      <c r="A68" s="8" t="s">
        <v>24</v>
      </c>
      <c r="B68" s="8" t="n">
        <v>130</v>
      </c>
      <c r="C68" s="11" t="n">
        <f aca="false">0.3*B67+0.7*C67</f>
        <v>114.8248</v>
      </c>
      <c r="D68" s="11" t="n">
        <f aca="false">B68-C68</f>
        <v>15.1752</v>
      </c>
      <c r="E68" s="11" t="n">
        <f aca="false">ABS(D68)</f>
        <v>15.1752</v>
      </c>
    </row>
    <row r="69" customFormat="false" ht="15" hidden="false" customHeight="false" outlineLevel="0" collapsed="false">
      <c r="A69" s="8" t="s">
        <v>25</v>
      </c>
      <c r="B69" s="8" t="n">
        <v>140</v>
      </c>
      <c r="C69" s="11" t="n">
        <f aca="false">0.3*B68+0.7*C68</f>
        <v>119.37736</v>
      </c>
      <c r="D69" s="11" t="n">
        <f aca="false">B69-C69</f>
        <v>20.62264</v>
      </c>
      <c r="E69" s="11" t="n">
        <f aca="false">ABS(D69)</f>
        <v>20.62264</v>
      </c>
    </row>
    <row r="70" customFormat="false" ht="15" hidden="false" customHeight="false" outlineLevel="0" collapsed="false">
      <c r="A70" s="8" t="s">
        <v>35</v>
      </c>
      <c r="C70" s="11" t="n">
        <f aca="false">0.3*B69+0.7*C69</f>
        <v>125.564152</v>
      </c>
    </row>
    <row r="71" customFormat="false" ht="15" hidden="false" customHeight="false" outlineLevel="0" collapsed="false">
      <c r="C71" s="8" t="s">
        <v>36</v>
      </c>
      <c r="D71" s="11" t="n">
        <f aca="false">AVERAGE(E63:E69)</f>
        <v>12.1734057142857</v>
      </c>
    </row>
    <row r="74" customFormat="false" ht="15" hidden="false" customHeight="false" outlineLevel="0" collapsed="false">
      <c r="A74" s="8" t="s">
        <v>48</v>
      </c>
    </row>
    <row r="75" customFormat="false" ht="15" hidden="false" customHeight="false" outlineLevel="0" collapsed="false">
      <c r="A75" s="8" t="s">
        <v>49</v>
      </c>
      <c r="B75" s="8" t="s">
        <v>50</v>
      </c>
      <c r="C75" s="8" t="s">
        <v>51</v>
      </c>
      <c r="D75" s="8" t="s">
        <v>52</v>
      </c>
    </row>
    <row r="76" customFormat="false" ht="15" hidden="false" customHeight="false" outlineLevel="0" collapsed="false">
      <c r="A76" s="9" t="s">
        <v>13</v>
      </c>
      <c r="B76" s="12" t="n">
        <f aca="false">C36</f>
        <v>131.666666666667</v>
      </c>
      <c r="C76" s="12" t="n">
        <f aca="false">D37</f>
        <v>11.3333333333333</v>
      </c>
      <c r="D76" s="9" t="s">
        <v>53</v>
      </c>
    </row>
    <row r="77" customFormat="false" ht="15" hidden="false" customHeight="false" outlineLevel="0" collapsed="false">
      <c r="A77" s="9" t="s">
        <v>18</v>
      </c>
      <c r="B77" s="12" t="n">
        <f aca="false">C53</f>
        <v>134</v>
      </c>
      <c r="C77" s="12" t="n">
        <f aca="false">D54</f>
        <v>10</v>
      </c>
      <c r="D77" s="9" t="s">
        <v>54</v>
      </c>
    </row>
    <row r="78" customFormat="false" ht="15" hidden="false" customHeight="false" outlineLevel="0" collapsed="false">
      <c r="A78" s="8" t="s">
        <v>55</v>
      </c>
      <c r="B78" s="11" t="n">
        <f aca="false">C70</f>
        <v>125.564152</v>
      </c>
      <c r="C78" s="11" t="n">
        <f aca="false">D71</f>
        <v>12.1734057142857</v>
      </c>
      <c r="D78" s="8" t="s">
        <v>56</v>
      </c>
    </row>
    <row r="80" customFormat="false" ht="15" hidden="false" customHeight="false" outlineLevel="0" collapsed="false">
      <c r="A80" s="8" t="s">
        <v>57</v>
      </c>
      <c r="B80" s="11" t="str">
        <f aca="false">IF(AND(C76&lt;=C77,C76&lt;=C78),"SMA",IF(C77&lt;=C78,"WMA","Exp Smooth"))</f>
        <v>WMA</v>
      </c>
    </row>
    <row r="83" customFormat="false" ht="15" hidden="false" customHeight="false" outlineLevel="0" collapsed="false">
      <c r="A83" s="8" t="s">
        <v>58</v>
      </c>
    </row>
    <row r="85" customFormat="false" ht="15" hidden="false" customHeight="false" outlineLevel="0" collapsed="false">
      <c r="A85" s="9" t="s">
        <v>59</v>
      </c>
      <c r="F85" s="9" t="s">
        <v>60</v>
      </c>
    </row>
    <row r="86" customFormat="false" ht="15" hidden="false" customHeight="false" outlineLevel="0" collapsed="false">
      <c r="A86" s="8" t="s">
        <v>61</v>
      </c>
      <c r="F86" s="8" t="s">
        <v>60</v>
      </c>
    </row>
    <row r="87" customFormat="false" ht="15" hidden="false" customHeight="false" outlineLevel="0" collapsed="false">
      <c r="A87" s="8" t="s">
        <v>62</v>
      </c>
      <c r="F87" s="8" t="s">
        <v>60</v>
      </c>
    </row>
    <row r="88" customFormat="false" ht="15" hidden="false" customHeight="false" outlineLevel="0" collapsed="false">
      <c r="A88" s="8" t="s">
        <v>63</v>
      </c>
      <c r="F88" s="8" t="s">
        <v>60</v>
      </c>
    </row>
    <row r="89" customFormat="false" ht="15" hidden="false" customHeight="false" outlineLevel="0" collapsed="false">
      <c r="A89" s="8" t="s">
        <v>64</v>
      </c>
      <c r="F89" s="8" t="s">
        <v>60</v>
      </c>
    </row>
    <row r="90" customFormat="false" ht="15" hidden="false" customHeight="false" outlineLevel="0" collapsed="false">
      <c r="A90" s="8" t="s">
        <v>65</v>
      </c>
      <c r="F90" s="8" t="s">
        <v>60</v>
      </c>
    </row>
  </sheetData>
  <mergeCells count="18">
    <mergeCell ref="A1:L1"/>
    <mergeCell ref="A2:L2"/>
    <mergeCell ref="A3:L3"/>
    <mergeCell ref="A4:L4"/>
    <mergeCell ref="I6:L6"/>
    <mergeCell ref="N6:P6"/>
    <mergeCell ref="I7:L7"/>
    <mergeCell ref="N7:P7"/>
    <mergeCell ref="I8:L8"/>
    <mergeCell ref="N8:O8"/>
    <mergeCell ref="I9:L9"/>
    <mergeCell ref="N9:O9"/>
    <mergeCell ref="I10:L10"/>
    <mergeCell ref="N10:O10"/>
    <mergeCell ref="C11:L11"/>
    <mergeCell ref="N11:O11"/>
    <mergeCell ref="N12:O12"/>
    <mergeCell ref="N13:O1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