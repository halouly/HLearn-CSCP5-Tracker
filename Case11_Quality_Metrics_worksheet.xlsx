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1 - Quality Metric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<sst xmlns="http://schemas.openxmlformats.org/spreadsheetml/2006/main" count="206" uniqueCount="85">
  <si>
    <t xml:space="preserve">CASE 11: QUALITY METRICS — PROCESS CAPABILITY (Cp, Cpk) AND OEE</t>
  </si>
  <si>
    <t xml:space="preserve">Calculation Worksheet</t>
  </si>
  <si>
    <t xml:space="preserve">SCENARIO: Evaluate process capability for a machining operation and calculate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</si>
  <si>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</si>
  <si>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</si>
  <si>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</si>
  <si>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Assess process capability and equipment effectiveness.</t>
  </si>
  <si>
    <t xml:space="preserve">Self-check targets.</t>
  </si>
  <si>
    <t xml:space="preserve">Your task: Compute Cp, Cpk, and OEE from the spec and production data.</t>
  </si>
  <si>
    <t xml:space="preserve">Performance = Actual Output / Theoretical</t>
  </si>
  <si>
    <t xml:space="preserve">Overall Equipment Effectiveness for the production line.</t>
  </si>
  <si>
    <t xml:space="preserve">Approach: Cpk = min(upper, lower) capability; OEE = Availability × Performance × Quality.</t>
  </si>
  <si>
    <t xml:space="preserve">Good Units = Actual - Defective</t>
  </si>
  <si>
    <t xml:space="preserve">Time: ~25 min   •   Fill the shaded input cells, then check the ANSWER KEY sheet only after you finish.</t>
  </si>
  <si>
    <t xml:space="preserve">Quality = Good Units / Actual Output</t>
  </si>
  <si>
    <t xml:space="preserve">PART A: PROCESS CAPABILITY</t>
  </si>
  <si>
    <t xml:space="preserve">OEE =</t>
  </si>
  <si>
    <t xml:space="preserve">SPECIFICATION DATA</t>
  </si>
  <si>
    <t xml:space="preserve">Given values (blue) — do not change.</t>
  </si>
  <si>
    <t xml:space="preserve">Target Dimension</t>
  </si>
  <si>
    <t xml:space="preserve">mm</t>
  </si>
  <si>
    <t xml:space="preserve">Upper Spec Limit (USL)</t>
  </si>
  <si>
    <t xml:space="preserve">Lower Spec Limit (LSL)</t>
  </si>
  <si>
    <t xml:space="preserve">Tolerance Range</t>
  </si>
  <si>
    <t xml:space="preserve">PROCESS DATA (from sample measurements)</t>
  </si>
  <si>
    <t xml:space="preserve">Process Mean (μ)</t>
  </si>
  <si>
    <t xml:space="preserve">Process Std Dev (σ)</t>
  </si>
  <si>
    <t xml:space="preserve">PROCESS CAPABILITY CALCULATIONS</t>
  </si>
  <si>
    <t xml:space="preserve">Work each green cell using the formula shown.</t>
  </si>
  <si>
    <t xml:space="preserve">Cp (Process Capability Index)</t>
  </si>
  <si>
    <t xml:space="preserve">Formula: Cp = (USL - LSL) / 6σ</t>
  </si>
  <si>
    <t xml:space="preserve">Cp =</t>
  </si>
  <si>
    <t xml:space="preserve">Cp Interpretation:</t>
  </si>
  <si>
    <t xml:space="preserve">  Cp &lt; 1.0</t>
  </si>
  <si>
    <t xml:space="preserve">Process CANNOT meet specs</t>
  </si>
  <si>
    <t xml:space="preserve">  1.0 ≤ Cp &lt; 1.33</t>
  </si>
  <si>
    <t xml:space="preserve">Process MARGINAL</t>
  </si>
  <si>
    <t xml:space="preserve">  1.33 ≤ Cp &lt; 2.0</t>
  </si>
  <si>
    <t xml:space="preserve">Process CAPABLE</t>
  </si>
  <si>
    <t xml:space="preserve">  Cp ≥ 2.0</t>
  </si>
  <si>
    <t xml:space="preserve">Process EXCELLENT (Six Sigma)</t>
  </si>
  <si>
    <t xml:space="preserve">Cpk (Process Capability Index - Centered)</t>
  </si>
  <si>
    <t xml:space="preserve">Formula: Cpk = min[(USL-μ)/3σ, (μ-LSL)/3σ]</t>
  </si>
  <si>
    <t xml:space="preserve">Upper Capability: (USL-μ)/3σ =</t>
  </si>
  <si>
    <t xml:space="preserve">Lower Capability: (μ-LSL)/3σ =</t>
  </si>
  <si>
    <t xml:space="preserve">Cpk = min(upper, lower) =</t>
  </si>
  <si>
    <t xml:space="preserve">Is Process Centered?</t>
  </si>
  <si>
    <t xml:space="preserve">PART B: OVERALL EQUIPMENT EFFECTIVENESS (OEE)</t>
  </si>
  <si>
    <t xml:space="preserve">OEE DATA</t>
  </si>
  <si>
    <t xml:space="preserve">Planned Production Time</t>
  </si>
  <si>
    <t xml:space="preserve">minutes</t>
  </si>
  <si>
    <t xml:space="preserve">Downtime (breakdowns, changeovers)</t>
  </si>
  <si>
    <t xml:space="preserve">Ideal Cycle Time</t>
  </si>
  <si>
    <t xml:space="preserve">min/unit</t>
  </si>
  <si>
    <t xml:space="preserve">Actual Output</t>
  </si>
  <si>
    <t xml:space="preserve">units</t>
  </si>
  <si>
    <t xml:space="preserve">Defective Units</t>
  </si>
  <si>
    <t xml:space="preserve">OEE CALCULATION</t>
  </si>
  <si>
    <t xml:space="preserve">1. AVAILABILITY</t>
  </si>
  <si>
    <t xml:space="preserve">Operating Time = Planned - Downtime</t>
  </si>
  <si>
    <t xml:space="preserve">Availability = Operating / Planned</t>
  </si>
  <si>
    <t xml:space="preserve">2. PERFORMANCE</t>
  </si>
  <si>
    <t xml:space="preserve">Theoretical Output = Operating Time / Ideal Cycle</t>
  </si>
  <si>
    <t xml:space="preserve">3. QUALITY</t>
  </si>
  <si>
    <t xml:space="preserve">OEE = Availability × Performance × Quality</t>
  </si>
  <si>
    <t xml:space="preserve">OEE Benchmarks:</t>
  </si>
  <si>
    <t xml:space="preserve">  &lt; 65%</t>
  </si>
  <si>
    <t xml:space="preserve">Poor - significant improvement needed</t>
  </si>
  <si>
    <t xml:space="preserve">  65-75%</t>
  </si>
  <si>
    <t xml:space="preserve">Average - typical for discrete manufacturing</t>
  </si>
  <si>
    <t xml:space="preserve">  75-85%</t>
  </si>
  <si>
    <t xml:space="preserve">Good - approaching world class</t>
  </si>
  <si>
    <t xml:space="preserve">  &gt; 85%</t>
  </si>
  <si>
    <t xml:space="preserve">World Class</t>
  </si>
  <si>
    <t xml:space="preserve">Your OEE Rating:</t>
  </si>
  <si>
    <t xml:space="preserve">EXAM-STYLE QUESTIONS:</t>
  </si>
  <si>
    <t xml:space="preserve">Q1: What is the Cp for this process? Is the process capable?</t>
  </si>
  <si>
    <t xml:space="preserve">Answer:</t>
  </si>
  <si>
    <t xml:space="preserve">Q2: What is the Cpk? Is the process centered?</t>
  </si>
  <si>
    <t xml:space="preserve">Q3: If Cp = 1.5 but Cpk = 0.8, what does this indicate?</t>
  </si>
  <si>
    <t xml:space="preserve">Q4: What is the Availability component of OEE?</t>
  </si>
  <si>
    <t xml:space="preserve">Q5: What is the overall OEE? Is this world-class performance?</t>
  </si>
  <si>
    <t xml:space="preserve">Q6: If defects increase to 40 units, what is the new OEE?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</si>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</sst>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7" min="7" style="0" width="20"/>
    <col collapsed="false" customWidth="true" hidden="false" outlineLevel="0" max="12" min="12" style="0" width="2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G6" s="1" t="s">
        <v>4</v>
      </c>
      <c r="H6" s="1"/>
      <c r="I6" s="1"/>
      <c r="J6" s="1"/>
      <c r="L6" s="1" t="s">
        <v>5</v>
      </c>
      <c r="M6" s="1"/>
      <c r="N6" s="1"/>
    </row>
    <row r="7" customFormat="false" ht="23.85" hidden="false" customHeight="true" outlineLevel="0" collapsed="false">
      <c r="G7" s="4" t="s">
        <v>6</v>
      </c>
      <c r="H7" s="4"/>
      <c r="I7" s="4"/>
      <c r="J7" s="4"/>
      <c r="L7" s="5" t="s">
        <v>7</v>
      </c>
      <c r="M7" s="5"/>
      <c r="N7" s="5"/>
    </row>
    <row r="8" customFormat="false" ht="23.85" hidden="false" customHeight="true" outlineLevel="0" collapsed="false">
      <c r="G8" s="4" t="s">
        <v>8</v>
      </c>
      <c r="H8" s="4"/>
      <c r="I8" s="4"/>
      <c r="J8" s="4"/>
      <c r="L8" s="6" t="s">
        <v>9</v>
      </c>
      <c r="M8" s="6"/>
      <c r="N8" s="7" t="n">
        <v>0.9259</v>
      </c>
    </row>
    <row r="9" customFormat="false" ht="23.85" hidden="false" customHeight="true" outlineLevel="0" collapsed="false">
      <c r="A9" s="8" t="s">
        <v>10</v>
      </c>
      <c r="G9" s="4" t="s">
        <v>11</v>
      </c>
      <c r="H9" s="4"/>
      <c r="I9" s="4"/>
      <c r="J9" s="4"/>
      <c r="L9" s="6" t="s">
        <v>12</v>
      </c>
      <c r="M9" s="6"/>
      <c r="N9" s="9" t="n">
        <v>784</v>
      </c>
    </row>
    <row r="10" customFormat="false" ht="23.85" hidden="false" customHeight="true" outlineLevel="0" collapsed="false">
      <c r="G10" s="4" t="s">
        <v>13</v>
      </c>
      <c r="H10" s="4"/>
      <c r="I10" s="4"/>
      <c r="J10" s="4"/>
      <c r="L10" s="6" t="s">
        <v>14</v>
      </c>
      <c r="M10" s="6"/>
      <c r="N10" s="7" t="n">
        <v>0.98</v>
      </c>
    </row>
    <row r="11" customFormat="false" ht="15" hidden="false" customHeight="false" outlineLevel="0" collapsed="false">
      <c r="A11" s="10" t="s">
        <v>15</v>
      </c>
      <c r="L11" s="6" t="s">
        <v>16</v>
      </c>
      <c r="M11" s="6"/>
      <c r="N11" s="7" t="n">
        <v>0.8167</v>
      </c>
    </row>
    <row r="13" customFormat="false" ht="15" hidden="false" customHeight="false" outlineLevel="0" collapsed="false">
      <c r="A13" s="10" t="s">
        <v>17</v>
      </c>
      <c r="C13" s="11" t="s">
        <v>18</v>
      </c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8" t="s">
        <v>19</v>
      </c>
      <c r="C14" s="8" t="n">
        <v>50</v>
      </c>
      <c r="D14" s="8" t="s">
        <v>20</v>
      </c>
    </row>
    <row r="15" customFormat="false" ht="15" hidden="false" customHeight="false" outlineLevel="0" collapsed="false">
      <c r="A15" s="8" t="s">
        <v>21</v>
      </c>
      <c r="C15" s="8" t="n">
        <v>50.15</v>
      </c>
      <c r="D15" s="8" t="s">
        <v>20</v>
      </c>
    </row>
    <row r="16" customFormat="false" ht="15" hidden="false" customHeight="false" outlineLevel="0" collapsed="false">
      <c r="A16" s="8" t="s">
        <v>22</v>
      </c>
      <c r="C16" s="8" t="n">
        <v>49.85</v>
      </c>
      <c r="D16" s="8" t="s">
        <v>20</v>
      </c>
    </row>
    <row r="17" customFormat="false" ht="15" hidden="false" customHeight="false" outlineLevel="0" collapsed="false">
      <c r="A17" s="8" t="s">
        <v>23</v>
      </c>
      <c r="C17" s="12"/>
      <c r="D17" s="8" t="s">
        <v>20</v>
      </c>
    </row>
    <row r="19" customFormat="false" ht="15" hidden="false" customHeight="false" outlineLevel="0" collapsed="false">
      <c r="A19" s="10" t="s">
        <v>24</v>
      </c>
    </row>
    <row r="20" customFormat="false" ht="15" hidden="false" customHeight="false" outlineLevel="0" collapsed="false">
      <c r="A20" s="8" t="s">
        <v>25</v>
      </c>
      <c r="C20" s="8" t="n">
        <v>50.02</v>
      </c>
      <c r="D20" s="8" t="s">
        <v>20</v>
      </c>
    </row>
    <row r="21" customFormat="false" ht="15" hidden="false" customHeight="false" outlineLevel="0" collapsed="false">
      <c r="A21" s="8" t="s">
        <v>26</v>
      </c>
      <c r="C21" s="8" t="n">
        <v>0.04</v>
      </c>
      <c r="D21" s="8" t="s">
        <v>20</v>
      </c>
    </row>
    <row r="24" customFormat="false" ht="15" hidden="false" customHeight="false" outlineLevel="0" collapsed="false">
      <c r="A24" s="10" t="s">
        <v>27</v>
      </c>
      <c r="C24" s="11" t="s">
        <v>28</v>
      </c>
      <c r="D24" s="11"/>
      <c r="E24" s="11"/>
      <c r="F24" s="11"/>
      <c r="G24" s="11"/>
      <c r="H24" s="11"/>
      <c r="I24" s="11"/>
      <c r="J24" s="11"/>
    </row>
    <row r="26" customFormat="false" ht="15" hidden="false" customHeight="false" outlineLevel="0" collapsed="false">
      <c r="A26" s="8" t="s">
        <v>29</v>
      </c>
    </row>
    <row r="27" customFormat="false" ht="15" hidden="false" customHeight="false" outlineLevel="0" collapsed="false">
      <c r="A27" s="8" t="s">
        <v>30</v>
      </c>
    </row>
    <row r="28" customFormat="false" ht="15" hidden="false" customHeight="false" outlineLevel="0" collapsed="false">
      <c r="A28" s="8" t="s">
        <v>31</v>
      </c>
      <c r="B28" s="12"/>
    </row>
    <row r="30" customFormat="false" ht="15" hidden="false" customHeight="false" outlineLevel="0" collapsed="false">
      <c r="A30" s="8" t="s">
        <v>32</v>
      </c>
    </row>
    <row r="31" customFormat="false" ht="15" hidden="false" customHeight="false" outlineLevel="0" collapsed="false">
      <c r="A31" s="8" t="s">
        <v>33</v>
      </c>
      <c r="B31" s="8" t="s">
        <v>34</v>
      </c>
    </row>
    <row r="32" customFormat="false" ht="15" hidden="false" customHeight="false" outlineLevel="0" collapsed="false">
      <c r="A32" s="8" t="s">
        <v>35</v>
      </c>
      <c r="B32" s="8" t="s">
        <v>36</v>
      </c>
    </row>
    <row r="33" customFormat="false" ht="15" hidden="false" customHeight="false" outlineLevel="0" collapsed="false">
      <c r="A33" s="8" t="s">
        <v>37</v>
      </c>
      <c r="B33" s="8" t="s">
        <v>38</v>
      </c>
    </row>
    <row r="34" customFormat="false" ht="15" hidden="false" customHeight="false" outlineLevel="0" collapsed="false">
      <c r="A34" s="8" t="s">
        <v>39</v>
      </c>
      <c r="B34" s="8" t="s">
        <v>40</v>
      </c>
    </row>
    <row r="37" customFormat="false" ht="15" hidden="false" customHeight="false" outlineLevel="0" collapsed="false">
      <c r="A37" s="8" t="s">
        <v>41</v>
      </c>
    </row>
    <row r="38" customFormat="false" ht="15" hidden="false" customHeight="false" outlineLevel="0" collapsed="false">
      <c r="A38" s="10" t="s">
        <v>42</v>
      </c>
    </row>
    <row r="40" customFormat="false" ht="15" hidden="false" customHeight="false" outlineLevel="0" collapsed="false">
      <c r="A40" s="8" t="s">
        <v>43</v>
      </c>
      <c r="B40" s="12"/>
    </row>
    <row r="41" customFormat="false" ht="15" hidden="false" customHeight="false" outlineLevel="0" collapsed="false">
      <c r="A41" s="8" t="s">
        <v>44</v>
      </c>
      <c r="B41" s="12"/>
    </row>
    <row r="42" customFormat="false" ht="15" hidden="false" customHeight="false" outlineLevel="0" collapsed="false">
      <c r="A42" s="8" t="s">
        <v>45</v>
      </c>
      <c r="B42" s="12"/>
    </row>
    <row r="44" customFormat="false" ht="15" hidden="false" customHeight="false" outlineLevel="0" collapsed="false">
      <c r="A44" s="8" t="s">
        <v>46</v>
      </c>
      <c r="B44" s="12"/>
    </row>
    <row r="47" customFormat="false" ht="15" hidden="false" customHeight="false" outlineLevel="0" collapsed="false">
      <c r="A47" s="8" t="s">
        <v>47</v>
      </c>
    </row>
    <row r="49" customFormat="false" ht="15" hidden="false" customHeight="false" outlineLevel="0" collapsed="false">
      <c r="A49" s="10" t="s">
        <v>48</v>
      </c>
      <c r="C49" s="11" t="s">
        <v>18</v>
      </c>
      <c r="D49" s="11"/>
      <c r="E49" s="11"/>
      <c r="F49" s="11"/>
      <c r="G49" s="11"/>
      <c r="H49" s="11"/>
      <c r="I49" s="11"/>
      <c r="J49" s="11"/>
    </row>
    <row r="50" customFormat="false" ht="15" hidden="false" customHeight="false" outlineLevel="0" collapsed="false">
      <c r="A50" s="8" t="s">
        <v>49</v>
      </c>
      <c r="C50" s="8" t="n">
        <v>480</v>
      </c>
      <c r="D50" s="8" t="s">
        <v>50</v>
      </c>
    </row>
    <row r="51" customFormat="false" ht="15" hidden="false" customHeight="false" outlineLevel="0" collapsed="false">
      <c r="A51" s="10" t="s">
        <v>51</v>
      </c>
      <c r="C51" s="10" t="n">
        <v>48</v>
      </c>
      <c r="D51" s="10" t="s">
        <v>50</v>
      </c>
    </row>
    <row r="52" customFormat="false" ht="15" hidden="false" customHeight="false" outlineLevel="0" collapsed="false">
      <c r="A52" s="8" t="s">
        <v>52</v>
      </c>
      <c r="C52" s="8" t="n">
        <v>0.5</v>
      </c>
      <c r="D52" s="8" t="s">
        <v>53</v>
      </c>
    </row>
    <row r="53" customFormat="false" ht="15" hidden="false" customHeight="false" outlineLevel="0" collapsed="false">
      <c r="A53" s="8" t="s">
        <v>54</v>
      </c>
      <c r="C53" s="8" t="n">
        <v>800</v>
      </c>
      <c r="D53" s="8" t="s">
        <v>55</v>
      </c>
    </row>
    <row r="54" customFormat="false" ht="15" hidden="false" customHeight="false" outlineLevel="0" collapsed="false">
      <c r="A54" s="8" t="s">
        <v>56</v>
      </c>
      <c r="C54" s="8" t="n">
        <v>16</v>
      </c>
      <c r="D54" s="8" t="s">
        <v>55</v>
      </c>
    </row>
    <row r="57" customFormat="false" ht="15" hidden="false" customHeight="false" outlineLevel="0" collapsed="false">
      <c r="A57" s="8" t="s">
        <v>57</v>
      </c>
    </row>
    <row r="59" customFormat="false" ht="15" hidden="false" customHeight="false" outlineLevel="0" collapsed="false">
      <c r="A59" s="8" t="s">
        <v>58</v>
      </c>
    </row>
    <row r="60" customFormat="false" ht="15" hidden="false" customHeight="false" outlineLevel="0" collapsed="false">
      <c r="A60" s="8" t="s">
        <v>59</v>
      </c>
      <c r="C60" s="12"/>
      <c r="D60" s="8" t="s">
        <v>50</v>
      </c>
    </row>
    <row r="61" customFormat="false" ht="15" hidden="false" customHeight="false" outlineLevel="0" collapsed="false">
      <c r="A61" s="8" t="s">
        <v>60</v>
      </c>
      <c r="C61" s="13"/>
    </row>
    <row r="63" customFormat="false" ht="15" hidden="false" customHeight="false" outlineLevel="0" collapsed="false">
      <c r="A63" s="8" t="s">
        <v>61</v>
      </c>
    </row>
    <row r="64" customFormat="false" ht="15" hidden="false" customHeight="false" outlineLevel="0" collapsed="false">
      <c r="A64" s="8" t="s">
        <v>62</v>
      </c>
      <c r="C64" s="12"/>
      <c r="D64" s="8" t="s">
        <v>55</v>
      </c>
    </row>
    <row r="65" customFormat="false" ht="15" hidden="false" customHeight="false" outlineLevel="0" collapsed="false">
      <c r="A65" s="8" t="s">
        <v>9</v>
      </c>
      <c r="C65" s="13"/>
    </row>
    <row r="67" customFormat="false" ht="15" hidden="false" customHeight="false" outlineLevel="0" collapsed="false">
      <c r="A67" s="8" t="s">
        <v>63</v>
      </c>
    </row>
    <row r="68" customFormat="false" ht="15" hidden="false" customHeight="false" outlineLevel="0" collapsed="false">
      <c r="A68" s="8" t="s">
        <v>12</v>
      </c>
      <c r="C68" s="12"/>
      <c r="D68" s="8" t="s">
        <v>55</v>
      </c>
    </row>
    <row r="69" customFormat="false" ht="15" hidden="false" customHeight="false" outlineLevel="0" collapsed="false">
      <c r="A69" s="8" t="s">
        <v>14</v>
      </c>
      <c r="C69" s="13"/>
    </row>
    <row r="72" customFormat="false" ht="15" hidden="false" customHeight="false" outlineLevel="0" collapsed="false">
      <c r="A72" s="8" t="s">
        <v>64</v>
      </c>
    </row>
    <row r="73" customFormat="false" ht="15" hidden="false" customHeight="false" outlineLevel="0" collapsed="false">
      <c r="A73" s="8" t="s">
        <v>16</v>
      </c>
      <c r="B73" s="13"/>
    </row>
    <row r="75" customFormat="false" ht="15" hidden="false" customHeight="false" outlineLevel="0" collapsed="false">
      <c r="A75" s="8" t="s">
        <v>65</v>
      </c>
    </row>
    <row r="76" customFormat="false" ht="15" hidden="false" customHeight="false" outlineLevel="0" collapsed="false">
      <c r="A76" s="8" t="s">
        <v>66</v>
      </c>
      <c r="B76" s="8" t="s">
        <v>67</v>
      </c>
    </row>
    <row r="77" customFormat="false" ht="15" hidden="false" customHeight="false" outlineLevel="0" collapsed="false">
      <c r="A77" s="8" t="s">
        <v>68</v>
      </c>
      <c r="B77" s="8" t="s">
        <v>69</v>
      </c>
    </row>
    <row r="78" customFormat="false" ht="15" hidden="false" customHeight="false" outlineLevel="0" collapsed="false">
      <c r="A78" s="8" t="s">
        <v>70</v>
      </c>
      <c r="B78" s="8" t="s">
        <v>71</v>
      </c>
    </row>
    <row r="79" customFormat="false" ht="15" hidden="false" customHeight="false" outlineLevel="0" collapsed="false">
      <c r="A79" s="8" t="s">
        <v>72</v>
      </c>
      <c r="B79" s="8" t="s">
        <v>73</v>
      </c>
    </row>
    <row r="81" customFormat="false" ht="15" hidden="false" customHeight="false" outlineLevel="0" collapsed="false">
      <c r="A81" s="8" t="s">
        <v>74</v>
      </c>
      <c r="B81" s="12"/>
    </row>
    <row r="84" customFormat="false" ht="15" hidden="false" customHeight="false" outlineLevel="0" collapsed="false">
      <c r="A84" s="8" t="s">
        <v>75</v>
      </c>
    </row>
    <row r="86" customFormat="false" ht="15" hidden="false" customHeight="false" outlineLevel="0" collapsed="false">
      <c r="A86" s="8" t="s">
        <v>76</v>
      </c>
      <c r="E86" s="8" t="s">
        <v>77</v>
      </c>
    </row>
    <row r="87" customFormat="false" ht="15" hidden="false" customHeight="false" outlineLevel="0" collapsed="false">
      <c r="A87" s="8" t="s">
        <v>78</v>
      </c>
      <c r="E87" s="8" t="s">
        <v>77</v>
      </c>
    </row>
    <row r="88" customFormat="false" ht="15" hidden="false" customHeight="false" outlineLevel="0" collapsed="false">
      <c r="A88" s="8" t="s">
        <v>79</v>
      </c>
      <c r="E88" s="8" t="s">
        <v>77</v>
      </c>
    </row>
    <row r="89" customFormat="false" ht="15" hidden="false" customHeight="false" outlineLevel="0" collapsed="false">
      <c r="A89" s="8" t="s">
        <v>80</v>
      </c>
      <c r="E89" s="8" t="s">
        <v>77</v>
      </c>
    </row>
    <row r="90" customFormat="false" ht="15" hidden="false" customHeight="false" outlineLevel="0" collapsed="false">
      <c r="A90" s="8" t="s">
        <v>81</v>
      </c>
      <c r="E90" s="8" t="s">
        <v>77</v>
      </c>
    </row>
    <row r="91" customFormat="false" ht="15" hidden="false" customHeight="false" outlineLevel="0" collapsed="false">
      <c r="A91" s="8" t="s">
        <v>82</v>
      </c>
      <c r="E91" s="8" t="s">
        <v>77</v>
      </c>
    </row>
  </sheetData>
  <mergeCells count="18">
    <mergeCell ref="A1:J1"/>
    <mergeCell ref="A2:J2"/>
    <mergeCell ref="A3:J3"/>
    <mergeCell ref="A4:J4"/>
    <mergeCell ref="G6:J6"/>
    <mergeCell ref="L6:N6"/>
    <mergeCell ref="G7:J7"/>
    <mergeCell ref="L7:N7"/>
    <mergeCell ref="G8:J8"/>
    <mergeCell ref="L8:M8"/>
    <mergeCell ref="G9:J9"/>
    <mergeCell ref="L9:M9"/>
    <mergeCell ref="G10:J10"/>
    <mergeCell ref="L10:M10"/>
    <mergeCell ref="L11:M11"/>
    <mergeCell ref="C13:J13"/>
    <mergeCell ref="C24:J24"/>
    <mergeCell ref="C49:J49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7" min="7" style="0" width="20"/>
    <col collapsed="false" customWidth="true" hidden="false" outlineLevel="0" max="12" min="12" style="0" width="2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3" t="s">
        <v>84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G6" s="1" t="s">
        <v>4</v>
      </c>
      <c r="H6" s="1"/>
      <c r="I6" s="1"/>
      <c r="J6" s="1"/>
      <c r="L6" s="1" t="s">
        <v>5</v>
      </c>
      <c r="M6" s="1"/>
      <c r="N6" s="1"/>
    </row>
    <row r="7" customFormat="false" ht="23.85" hidden="false" customHeight="true" outlineLevel="0" collapsed="false">
      <c r="G7" s="4" t="s">
        <v>6</v>
      </c>
      <c r="H7" s="4"/>
      <c r="I7" s="4"/>
      <c r="J7" s="4"/>
      <c r="L7" s="5" t="s">
        <v>7</v>
      </c>
      <c r="M7" s="5"/>
      <c r="N7" s="5"/>
    </row>
    <row r="8" customFormat="false" ht="23.85" hidden="false" customHeight="true" outlineLevel="0" collapsed="false">
      <c r="G8" s="4" t="s">
        <v>8</v>
      </c>
      <c r="H8" s="4"/>
      <c r="I8" s="4"/>
      <c r="J8" s="4"/>
      <c r="L8" s="6" t="s">
        <v>9</v>
      </c>
      <c r="M8" s="6"/>
      <c r="N8" s="7" t="n">
        <v>0.9259</v>
      </c>
    </row>
    <row r="9" customFormat="false" ht="23.85" hidden="false" customHeight="true" outlineLevel="0" collapsed="false">
      <c r="A9" s="8" t="s">
        <v>10</v>
      </c>
      <c r="G9" s="4" t="s">
        <v>11</v>
      </c>
      <c r="H9" s="4"/>
      <c r="I9" s="4"/>
      <c r="J9" s="4"/>
      <c r="L9" s="6" t="s">
        <v>12</v>
      </c>
      <c r="M9" s="6"/>
      <c r="N9" s="9" t="n">
        <v>784</v>
      </c>
    </row>
    <row r="10" customFormat="false" ht="23.85" hidden="false" customHeight="true" outlineLevel="0" collapsed="false">
      <c r="G10" s="4" t="s">
        <v>13</v>
      </c>
      <c r="H10" s="4"/>
      <c r="I10" s="4"/>
      <c r="J10" s="4"/>
      <c r="L10" s="6" t="s">
        <v>14</v>
      </c>
      <c r="M10" s="6"/>
      <c r="N10" s="7" t="n">
        <v>0.98</v>
      </c>
    </row>
    <row r="11" customFormat="false" ht="15" hidden="false" customHeight="false" outlineLevel="0" collapsed="false">
      <c r="A11" s="10" t="s">
        <v>15</v>
      </c>
      <c r="L11" s="6" t="s">
        <v>16</v>
      </c>
      <c r="M11" s="6"/>
      <c r="N11" s="7" t="n">
        <v>0.8167</v>
      </c>
    </row>
    <row r="13" customFormat="false" ht="15" hidden="false" customHeight="false" outlineLevel="0" collapsed="false">
      <c r="A13" s="10" t="s">
        <v>17</v>
      </c>
      <c r="C13" s="11" t="s">
        <v>18</v>
      </c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8" t="s">
        <v>19</v>
      </c>
      <c r="C14" s="8" t="n">
        <v>50</v>
      </c>
      <c r="D14" s="8" t="s">
        <v>20</v>
      </c>
    </row>
    <row r="15" customFormat="false" ht="15" hidden="false" customHeight="false" outlineLevel="0" collapsed="false">
      <c r="A15" s="8" t="s">
        <v>21</v>
      </c>
      <c r="C15" s="8" t="n">
        <v>50.15</v>
      </c>
      <c r="D15" s="8" t="s">
        <v>20</v>
      </c>
    </row>
    <row r="16" customFormat="false" ht="15" hidden="false" customHeight="false" outlineLevel="0" collapsed="false">
      <c r="A16" s="8" t="s">
        <v>22</v>
      </c>
      <c r="C16" s="8" t="n">
        <v>49.85</v>
      </c>
      <c r="D16" s="8" t="s">
        <v>20</v>
      </c>
    </row>
    <row r="17" customFormat="false" ht="15" hidden="false" customHeight="false" outlineLevel="0" collapsed="false">
      <c r="A17" s="8" t="s">
        <v>23</v>
      </c>
      <c r="C17" s="12" t="n">
        <f aca="false">C15-C16</f>
        <v>0.299999999999997</v>
      </c>
      <c r="D17" s="8" t="s">
        <v>20</v>
      </c>
    </row>
    <row r="19" customFormat="false" ht="15" hidden="false" customHeight="false" outlineLevel="0" collapsed="false">
      <c r="A19" s="10" t="s">
        <v>24</v>
      </c>
    </row>
    <row r="20" customFormat="false" ht="15" hidden="false" customHeight="false" outlineLevel="0" collapsed="false">
      <c r="A20" s="8" t="s">
        <v>25</v>
      </c>
      <c r="C20" s="8" t="n">
        <v>50.02</v>
      </c>
      <c r="D20" s="8" t="s">
        <v>20</v>
      </c>
    </row>
    <row r="21" customFormat="false" ht="15" hidden="false" customHeight="false" outlineLevel="0" collapsed="false">
      <c r="A21" s="8" t="s">
        <v>26</v>
      </c>
      <c r="C21" s="8" t="n">
        <v>0.04</v>
      </c>
      <c r="D21" s="8" t="s">
        <v>20</v>
      </c>
    </row>
    <row r="24" customFormat="false" ht="15" hidden="false" customHeight="false" outlineLevel="0" collapsed="false">
      <c r="A24" s="10" t="s">
        <v>27</v>
      </c>
      <c r="C24" s="11" t="s">
        <v>28</v>
      </c>
      <c r="D24" s="11"/>
      <c r="E24" s="11"/>
      <c r="F24" s="11"/>
      <c r="G24" s="11"/>
      <c r="H24" s="11"/>
      <c r="I24" s="11"/>
      <c r="J24" s="11"/>
    </row>
    <row r="26" customFormat="false" ht="15" hidden="false" customHeight="false" outlineLevel="0" collapsed="false">
      <c r="A26" s="8" t="s">
        <v>29</v>
      </c>
    </row>
    <row r="27" customFormat="false" ht="15" hidden="false" customHeight="false" outlineLevel="0" collapsed="false">
      <c r="A27" s="8" t="s">
        <v>30</v>
      </c>
    </row>
    <row r="28" customFormat="false" ht="15" hidden="false" customHeight="false" outlineLevel="0" collapsed="false">
      <c r="A28" s="8" t="s">
        <v>31</v>
      </c>
      <c r="B28" s="12" t="n">
        <f aca="false">(C15-C16)/(6*C21)</f>
        <v>1.24999999999999</v>
      </c>
    </row>
    <row r="30" customFormat="false" ht="15" hidden="false" customHeight="false" outlineLevel="0" collapsed="false">
      <c r="A30" s="8" t="s">
        <v>32</v>
      </c>
    </row>
    <row r="31" customFormat="false" ht="15" hidden="false" customHeight="false" outlineLevel="0" collapsed="false">
      <c r="A31" s="8" t="s">
        <v>33</v>
      </c>
      <c r="B31" s="8" t="s">
        <v>34</v>
      </c>
    </row>
    <row r="32" customFormat="false" ht="15" hidden="false" customHeight="false" outlineLevel="0" collapsed="false">
      <c r="A32" s="8" t="s">
        <v>35</v>
      </c>
      <c r="B32" s="8" t="s">
        <v>36</v>
      </c>
    </row>
    <row r="33" customFormat="false" ht="15" hidden="false" customHeight="false" outlineLevel="0" collapsed="false">
      <c r="A33" s="8" t="s">
        <v>37</v>
      </c>
      <c r="B33" s="8" t="s">
        <v>38</v>
      </c>
    </row>
    <row r="34" customFormat="false" ht="15" hidden="false" customHeight="false" outlineLevel="0" collapsed="false">
      <c r="A34" s="8" t="s">
        <v>39</v>
      </c>
      <c r="B34" s="8" t="s">
        <v>40</v>
      </c>
    </row>
    <row r="37" customFormat="false" ht="15" hidden="false" customHeight="false" outlineLevel="0" collapsed="false">
      <c r="A37" s="8" t="s">
        <v>41</v>
      </c>
    </row>
    <row r="38" customFormat="false" ht="15" hidden="false" customHeight="false" outlineLevel="0" collapsed="false">
      <c r="A38" s="10" t="s">
        <v>42</v>
      </c>
    </row>
    <row r="40" customFormat="false" ht="15" hidden="false" customHeight="false" outlineLevel="0" collapsed="false">
      <c r="A40" s="8" t="s">
        <v>43</v>
      </c>
      <c r="B40" s="12" t="n">
        <f aca="false">(C15-C20)/(3*C21)</f>
        <v>1.0833333333333</v>
      </c>
    </row>
    <row r="41" customFormat="false" ht="15" hidden="false" customHeight="false" outlineLevel="0" collapsed="false">
      <c r="A41" s="8" t="s">
        <v>44</v>
      </c>
      <c r="B41" s="12" t="n">
        <f aca="false">(C20-C16)/(3*C21)</f>
        <v>1.41666666666668</v>
      </c>
    </row>
    <row r="42" customFormat="false" ht="15" hidden="false" customHeight="false" outlineLevel="0" collapsed="false">
      <c r="A42" s="8" t="s">
        <v>45</v>
      </c>
      <c r="B42" s="12" t="n">
        <f aca="false">MIN(B40,B41)</f>
        <v>1.0833333333333</v>
      </c>
    </row>
    <row r="44" customFormat="false" ht="15" hidden="false" customHeight="false" outlineLevel="0" collapsed="false">
      <c r="A44" s="8" t="s">
        <v>46</v>
      </c>
      <c r="B44" s="12" t="str">
        <f aca="false">IF(ABS(B40-B41)&lt;0.1,"YES - well centered","NO - shifted")</f>
        <v>NO - shifted</v>
      </c>
    </row>
    <row r="47" customFormat="false" ht="15" hidden="false" customHeight="false" outlineLevel="0" collapsed="false">
      <c r="A47" s="8" t="s">
        <v>47</v>
      </c>
    </row>
    <row r="49" customFormat="false" ht="15" hidden="false" customHeight="false" outlineLevel="0" collapsed="false">
      <c r="A49" s="10" t="s">
        <v>48</v>
      </c>
      <c r="C49" s="11" t="s">
        <v>18</v>
      </c>
      <c r="D49" s="11"/>
      <c r="E49" s="11"/>
      <c r="F49" s="11"/>
      <c r="G49" s="11"/>
      <c r="H49" s="11"/>
      <c r="I49" s="11"/>
      <c r="J49" s="11"/>
    </row>
    <row r="50" customFormat="false" ht="15" hidden="false" customHeight="false" outlineLevel="0" collapsed="false">
      <c r="A50" s="8" t="s">
        <v>49</v>
      </c>
      <c r="C50" s="8" t="n">
        <v>480</v>
      </c>
      <c r="D50" s="8" t="s">
        <v>50</v>
      </c>
    </row>
    <row r="51" customFormat="false" ht="15" hidden="false" customHeight="false" outlineLevel="0" collapsed="false">
      <c r="A51" s="10" t="s">
        <v>51</v>
      </c>
      <c r="C51" s="10" t="n">
        <v>48</v>
      </c>
      <c r="D51" s="10" t="s">
        <v>50</v>
      </c>
    </row>
    <row r="52" customFormat="false" ht="15" hidden="false" customHeight="false" outlineLevel="0" collapsed="false">
      <c r="A52" s="8" t="s">
        <v>52</v>
      </c>
      <c r="C52" s="8" t="n">
        <v>0.5</v>
      </c>
      <c r="D52" s="8" t="s">
        <v>53</v>
      </c>
    </row>
    <row r="53" customFormat="false" ht="15" hidden="false" customHeight="false" outlineLevel="0" collapsed="false">
      <c r="A53" s="8" t="s">
        <v>54</v>
      </c>
      <c r="C53" s="8" t="n">
        <v>800</v>
      </c>
      <c r="D53" s="8" t="s">
        <v>55</v>
      </c>
    </row>
    <row r="54" customFormat="false" ht="15" hidden="false" customHeight="false" outlineLevel="0" collapsed="false">
      <c r="A54" s="8" t="s">
        <v>56</v>
      </c>
      <c r="C54" s="8" t="n">
        <v>16</v>
      </c>
      <c r="D54" s="8" t="s">
        <v>55</v>
      </c>
    </row>
    <row r="57" customFormat="false" ht="15" hidden="false" customHeight="false" outlineLevel="0" collapsed="false">
      <c r="A57" s="8" t="s">
        <v>57</v>
      </c>
    </row>
    <row r="59" customFormat="false" ht="15" hidden="false" customHeight="false" outlineLevel="0" collapsed="false">
      <c r="A59" s="8" t="s">
        <v>58</v>
      </c>
    </row>
    <row r="60" customFormat="false" ht="15" hidden="false" customHeight="false" outlineLevel="0" collapsed="false">
      <c r="A60" s="8" t="s">
        <v>59</v>
      </c>
      <c r="C60" s="12" t="n">
        <f aca="false">C50-C51</f>
        <v>432</v>
      </c>
      <c r="D60" s="8" t="s">
        <v>50</v>
      </c>
    </row>
    <row r="61" customFormat="false" ht="15" hidden="false" customHeight="false" outlineLevel="0" collapsed="false">
      <c r="A61" s="8" t="s">
        <v>60</v>
      </c>
      <c r="C61" s="13" t="n">
        <f aca="false">C60/C50</f>
        <v>0.9</v>
      </c>
    </row>
    <row r="63" customFormat="false" ht="15" hidden="false" customHeight="false" outlineLevel="0" collapsed="false">
      <c r="A63" s="8" t="s">
        <v>61</v>
      </c>
    </row>
    <row r="64" customFormat="false" ht="15" hidden="false" customHeight="false" outlineLevel="0" collapsed="false">
      <c r="A64" s="8" t="s">
        <v>62</v>
      </c>
      <c r="C64" s="12" t="n">
        <f aca="false">C60/C52</f>
        <v>864</v>
      </c>
      <c r="D64" s="8" t="s">
        <v>55</v>
      </c>
    </row>
    <row r="65" customFormat="false" ht="15" hidden="false" customHeight="false" outlineLevel="0" collapsed="false">
      <c r="A65" s="8" t="s">
        <v>9</v>
      </c>
      <c r="C65" s="13" t="n">
        <f aca="false">C53/C64</f>
        <v>0.925925925925926</v>
      </c>
    </row>
    <row r="67" customFormat="false" ht="15" hidden="false" customHeight="false" outlineLevel="0" collapsed="false">
      <c r="A67" s="8" t="s">
        <v>63</v>
      </c>
    </row>
    <row r="68" customFormat="false" ht="15" hidden="false" customHeight="false" outlineLevel="0" collapsed="false">
      <c r="A68" s="8" t="s">
        <v>12</v>
      </c>
      <c r="C68" s="12" t="n">
        <f aca="false">C53-C54</f>
        <v>784</v>
      </c>
      <c r="D68" s="8" t="s">
        <v>55</v>
      </c>
    </row>
    <row r="69" customFormat="false" ht="15" hidden="false" customHeight="false" outlineLevel="0" collapsed="false">
      <c r="A69" s="8" t="s">
        <v>14</v>
      </c>
      <c r="C69" s="13" t="n">
        <f aca="false">C68/C53</f>
        <v>0.98</v>
      </c>
    </row>
    <row r="72" customFormat="false" ht="15" hidden="false" customHeight="false" outlineLevel="0" collapsed="false">
      <c r="A72" s="8" t="s">
        <v>64</v>
      </c>
    </row>
    <row r="73" customFormat="false" ht="15" hidden="false" customHeight="false" outlineLevel="0" collapsed="false">
      <c r="A73" s="8" t="s">
        <v>16</v>
      </c>
      <c r="B73" s="13" t="n">
        <f aca="false">C61*C65*C69</f>
        <v>0.816666666666667</v>
      </c>
    </row>
    <row r="75" customFormat="false" ht="15" hidden="false" customHeight="false" outlineLevel="0" collapsed="false">
      <c r="A75" s="8" t="s">
        <v>65</v>
      </c>
    </row>
    <row r="76" customFormat="false" ht="15" hidden="false" customHeight="false" outlineLevel="0" collapsed="false">
      <c r="A76" s="8" t="s">
        <v>66</v>
      </c>
      <c r="B76" s="8" t="s">
        <v>67</v>
      </c>
    </row>
    <row r="77" customFormat="false" ht="15" hidden="false" customHeight="false" outlineLevel="0" collapsed="false">
      <c r="A77" s="8" t="s">
        <v>68</v>
      </c>
      <c r="B77" s="8" t="s">
        <v>69</v>
      </c>
    </row>
    <row r="78" customFormat="false" ht="15" hidden="false" customHeight="false" outlineLevel="0" collapsed="false">
      <c r="A78" s="8" t="s">
        <v>70</v>
      </c>
      <c r="B78" s="8" t="s">
        <v>71</v>
      </c>
    </row>
    <row r="79" customFormat="false" ht="15" hidden="false" customHeight="false" outlineLevel="0" collapsed="false">
      <c r="A79" s="8" t="s">
        <v>72</v>
      </c>
      <c r="B79" s="8" t="s">
        <v>73</v>
      </c>
    </row>
    <row r="81" customFormat="false" ht="15" hidden="false" customHeight="false" outlineLevel="0" collapsed="false">
      <c r="A81" s="8" t="s">
        <v>74</v>
      </c>
      <c r="B81" s="12" t="str">
        <f aca="false">IF(B74&lt;0.65,"Poor",IF(B74&lt;0.75,"Average",IF(B74&lt;0.85,"Good","World Class")))</f>
        <v>Poor</v>
      </c>
    </row>
    <row r="84" customFormat="false" ht="15" hidden="false" customHeight="false" outlineLevel="0" collapsed="false">
      <c r="A84" s="8" t="s">
        <v>75</v>
      </c>
    </row>
    <row r="86" customFormat="false" ht="15" hidden="false" customHeight="false" outlineLevel="0" collapsed="false">
      <c r="A86" s="8" t="s">
        <v>76</v>
      </c>
      <c r="E86" s="8" t="s">
        <v>77</v>
      </c>
    </row>
    <row r="87" customFormat="false" ht="15" hidden="false" customHeight="false" outlineLevel="0" collapsed="false">
      <c r="A87" s="8" t="s">
        <v>78</v>
      </c>
      <c r="E87" s="8" t="s">
        <v>77</v>
      </c>
    </row>
    <row r="88" customFormat="false" ht="15" hidden="false" customHeight="false" outlineLevel="0" collapsed="false">
      <c r="A88" s="8" t="s">
        <v>79</v>
      </c>
      <c r="E88" s="8" t="s">
        <v>77</v>
      </c>
    </row>
    <row r="89" customFormat="false" ht="15" hidden="false" customHeight="false" outlineLevel="0" collapsed="false">
      <c r="A89" s="8" t="s">
        <v>80</v>
      </c>
      <c r="E89" s="8" t="s">
        <v>77</v>
      </c>
    </row>
    <row r="90" customFormat="false" ht="15" hidden="false" customHeight="false" outlineLevel="0" collapsed="false">
      <c r="A90" s="8" t="s">
        <v>81</v>
      </c>
      <c r="E90" s="8" t="s">
        <v>77</v>
      </c>
    </row>
    <row r="91" customFormat="false" ht="15" hidden="false" customHeight="false" outlineLevel="0" collapsed="false">
      <c r="A91" s="8" t="s">
        <v>82</v>
      </c>
      <c r="E91" s="8" t="s">
        <v>77</v>
      </c>
    </row>
  </sheetData>
  <mergeCells count="18">
    <mergeCell ref="A1:J1"/>
    <mergeCell ref="A2:J2"/>
    <mergeCell ref="A3:J3"/>
    <mergeCell ref="A4:J4"/>
    <mergeCell ref="G6:J6"/>
    <mergeCell ref="L6:N6"/>
    <mergeCell ref="G7:J7"/>
    <mergeCell ref="L7:N7"/>
    <mergeCell ref="G8:J8"/>
    <mergeCell ref="L8:M8"/>
    <mergeCell ref="G9:J9"/>
    <mergeCell ref="L9:M9"/>
    <mergeCell ref="G10:J10"/>
    <mergeCell ref="L10:M10"/>
    <mergeCell ref="L11:M11"/>
    <mergeCell ref="C13:J13"/>
    <mergeCell ref="C24:J24"/>
    <mergeCell ref="C49:J49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