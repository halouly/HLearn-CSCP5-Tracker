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2 - Financial KPI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<sst xmlns="http://schemas.openxmlformats.org/spreadsheetml/2006/main" count="250" uniqueCount="105">
  <si>
    <t xml:space="preserve">CASE 12: STRATEGIC FINANCIAL KPIs — CASH-TO-CASH, LIQUIDITY, LEVERAGE, PROFITABILITY</t>
  </si>
  <si>
    <t xml:space="preserve">Calculation Worksheet</t>
  </si>
  <si>
    <t xml:space="preserve">SCENARIO: Analyze financial health of a manufacturing company using key ratios.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</si>
  <si>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</si>
  <si>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</si>
  <si>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</si>
  <si>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Evaluate financial health and the cash-to-cash cycle.</t>
  </si>
  <si>
    <t xml:space="preserve">Self-check targets.</t>
  </si>
  <si>
    <t xml:space="preserve">Your task: Compute liquidity ratios, DIO/DSO/DPO, and the cash-to-cash cycle.</t>
  </si>
  <si>
    <t xml:space="preserve">ROE</t>
  </si>
  <si>
    <t xml:space="preserve">Compare performance to industry benchmarks and identify improvement opportunities.</t>
  </si>
  <si>
    <t xml:space="preserve">Approach: Cash-to-cash = DIO + DSO − DPO; shorter is better.</t>
  </si>
  <si>
    <t xml:space="preserve">Debt Ratio</t>
  </si>
  <si>
    <t xml:space="preserve">Time: ~25 min   •   Fill the shaded input cells, then check the ANSWER KEY sheet only after you finish.</t>
  </si>
  <si>
    <t xml:space="preserve">BALANCE SHEET DATA (in $000s)</t>
  </si>
  <si>
    <t xml:space="preserve">Given values (blue) — do not change.</t>
  </si>
  <si>
    <t xml:space="preserve">ASSETS</t>
  </si>
  <si>
    <t xml:space="preserve">LIABILITIES &amp; EQUITY</t>
  </si>
  <si>
    <t xml:space="preserve">Cash</t>
  </si>
  <si>
    <t xml:space="preserve">Accounts Payable</t>
  </si>
  <si>
    <t xml:space="preserve">Accounts Receivable</t>
  </si>
  <si>
    <t xml:space="preserve">Short-term Debt</t>
  </si>
  <si>
    <t xml:space="preserve">Inventory</t>
  </si>
  <si>
    <t xml:space="preserve">Accrued Expenses</t>
  </si>
  <si>
    <t xml:space="preserve">Total Current Assets</t>
  </si>
  <si>
    <t xml:space="preserve">Total Current Liabilities</t>
  </si>
  <si>
    <t xml:space="preserve">Fixed Assets (net)</t>
  </si>
  <si>
    <t xml:space="preserve">Long-term Debt</t>
  </si>
  <si>
    <t xml:space="preserve">Total Liabilities</t>
  </si>
  <si>
    <t xml:space="preserve">Shareholders' Equity</t>
  </si>
  <si>
    <t xml:space="preserve">TOTAL ASSETS</t>
  </si>
  <si>
    <t xml:space="preserve">TOTAL LIAB + EQUITY</t>
  </si>
  <si>
    <t xml:space="preserve">INCOME STATEMENT DATA (Annual, in $000s)</t>
  </si>
  <si>
    <t xml:space="preserve">Net Sales (Revenue)</t>
  </si>
  <si>
    <t xml:space="preserve">Cost of Goods Sold</t>
  </si>
  <si>
    <t xml:space="preserve">Gross Profit</t>
  </si>
  <si>
    <t xml:space="preserve">Operating Expenses</t>
  </si>
  <si>
    <t xml:space="preserve">Operating Income (EBIT)</t>
  </si>
  <si>
    <t xml:space="preserve">Interest Expense</t>
  </si>
  <si>
    <t xml:space="preserve">Net Income Before Tax</t>
  </si>
  <si>
    <t xml:space="preserve">Taxes (25%)</t>
  </si>
  <si>
    <t xml:space="preserve">NET INCOME</t>
  </si>
  <si>
    <t xml:space="preserve">PART A: LIQUIDITY RATIOS (Can company pay short-term debts?)</t>
  </si>
  <si>
    <t xml:space="preserve">Current Ratio = Current Assets / Current Liabilities</t>
  </si>
  <si>
    <t xml:space="preserve">Current Ratio</t>
  </si>
  <si>
    <t xml:space="preserve">Benchmark: &gt;2.0 is healthy</t>
  </si>
  <si>
    <t xml:space="preserve">Quick Ratio = (Current Assets - Inventory) / Current Liabilities</t>
  </si>
  <si>
    <t xml:space="preserve">Quick Ratio (Acid Test)</t>
  </si>
  <si>
    <t xml:space="preserve">Benchmark: &gt;1.0 is healthy</t>
  </si>
  <si>
    <t xml:space="preserve">PART B: ACTIVITY RATIOS (How efficiently are assets used?)</t>
  </si>
  <si>
    <t xml:space="preserve">Inventory Turnover = COGS / Average Inventory</t>
  </si>
  <si>
    <t xml:space="preserve">Inventory Turnover</t>
  </si>
  <si>
    <t xml:space="preserve">turns/year</t>
  </si>
  <si>
    <t xml:space="preserve">Benchmark: varies by industry</t>
  </si>
  <si>
    <t xml:space="preserve">Days Inventory Outstanding (DIO)</t>
  </si>
  <si>
    <t xml:space="preserve">days</t>
  </si>
  <si>
    <t xml:space="preserve">Receivables Turnover = Net Sales / Accounts Receivable</t>
  </si>
  <si>
    <t xml:space="preserve">Receivables Turnover</t>
  </si>
  <si>
    <t xml:space="preserve">Days Sales Outstanding (DSO)</t>
  </si>
  <si>
    <t xml:space="preserve">Payables Turnover = COGS / Accounts Payable</t>
  </si>
  <si>
    <t xml:space="preserve">Payables Turnover</t>
  </si>
  <si>
    <t xml:space="preserve">Days Payables Outstanding (DPO)</t>
  </si>
  <si>
    <t xml:space="preserve">PART C: CASH-TO-CASH CYCLE TIME</t>
  </si>
  <si>
    <t xml:space="preserve">Formula: C2C = DIO + DSO - DPO</t>
  </si>
  <si>
    <t xml:space="preserve">(How long cash is tied up from paying suppliers to collecting from customers)</t>
  </si>
  <si>
    <t xml:space="preserve">CASH-TO-CASH CYCLE</t>
  </si>
  <si>
    <t xml:space="preserve">Interpretation: Lower is better. Negative C2C means suppliers finance your operations!</t>
  </si>
  <si>
    <t xml:space="preserve">PART D: LEVERAGE RATIOS (How much debt risk?)</t>
  </si>
  <si>
    <t xml:space="preserve">Debt Ratio = Total Liabilities / Total Assets</t>
  </si>
  <si>
    <t xml:space="preserve">Benchmark: &lt;0.5 is conservative</t>
  </si>
  <si>
    <t xml:space="preserve">Debt-to-Equity = Total Liabilities / Shareholders' Equity</t>
  </si>
  <si>
    <t xml:space="preserve">Debt-to-Equity</t>
  </si>
  <si>
    <t xml:space="preserve">Benchmark: &lt;1.0 is low risk</t>
  </si>
  <si>
    <t xml:space="preserve">PART E: PROFITABILITY RATIOS</t>
  </si>
  <si>
    <t xml:space="preserve">Gross Profit Margin = Gross Profit / Net Sales</t>
  </si>
  <si>
    <t xml:space="preserve">Gross Profit Margin</t>
  </si>
  <si>
    <t xml:space="preserve">Operating Profit Margin = Operating Income / Net Sales</t>
  </si>
  <si>
    <t xml:space="preserve">Operating Margin</t>
  </si>
  <si>
    <t xml:space="preserve">Net Profit Margin = Net Income / Net Sales</t>
  </si>
  <si>
    <t xml:space="preserve">Net Profit Margin</t>
  </si>
  <si>
    <t xml:space="preserve">Return on Assets (ROA) = Net Income / Total Assets</t>
  </si>
  <si>
    <t xml:space="preserve">ROA</t>
  </si>
  <si>
    <t xml:space="preserve">Return on Equity (ROE) = Net Income / Shareholders' Equity</t>
  </si>
  <si>
    <t xml:space="preserve">SUMMARY SCORECARD</t>
  </si>
  <si>
    <t xml:space="preserve">Metric</t>
  </si>
  <si>
    <t xml:space="preserve">Value</t>
  </si>
  <si>
    <t xml:space="preserve">Benchmark</t>
  </si>
  <si>
    <t xml:space="preserve">Status</t>
  </si>
  <si>
    <t xml:space="preserve">&gt;2.0</t>
  </si>
  <si>
    <t xml:space="preserve">Quick Ratio</t>
  </si>
  <si>
    <t xml:space="preserve">&gt;1.0</t>
  </si>
  <si>
    <t xml:space="preserve">Cash-to-Cash Cycle</t>
  </si>
  <si>
    <t xml:space="preserve">&lt;60 days</t>
  </si>
  <si>
    <t xml:space="preserve">&lt;0.5</t>
  </si>
  <si>
    <t xml:space="preserve">&gt;5%</t>
  </si>
  <si>
    <t xml:space="preserve">EXAM-STYLE QUESTIONS:</t>
  </si>
  <si>
    <t xml:space="preserve">Q1: What is the Cash-to-Cash Cycle Time? Is this good or bad?</t>
  </si>
  <si>
    <t xml:space="preserve">Answer:</t>
  </si>
  <si>
    <t xml:space="preserve">Q2: Calculate the Current Ratio. Can the company cover short-term debts?</t>
  </si>
  <si>
    <t xml:space="preserve">Q3: If inventory is reduced by $300K, what happens to the Quick Ratio?</t>
  </si>
  <si>
    <t xml:space="preserve">Q4: What is the Debt Ratio? Is the company highly leveraged?</t>
  </si>
  <si>
    <t xml:space="preserve">Q5: Calculate Net Profit Margin. How does this compare to gross margin?</t>
  </si>
  <si>
    <t xml:space="preserve">Q6: If DSO improves from 36.5 to 30 days, what is the new C2C cycle?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</si>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</sst>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8" style="0" width="20"/>
    <col collapsed="false" customWidth="true" hidden="false" outlineLevel="0" max="13" min="13" style="0" width="2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H6" s="1" t="s">
        <v>4</v>
      </c>
      <c r="I6" s="1"/>
      <c r="J6" s="1"/>
      <c r="K6" s="1"/>
      <c r="M6" s="1" t="s">
        <v>5</v>
      </c>
      <c r="N6" s="1"/>
      <c r="O6" s="1"/>
    </row>
    <row r="7" customFormat="false" ht="23.85" hidden="false" customHeight="true" outlineLevel="0" collapsed="false">
      <c r="H7" s="4" t="s">
        <v>6</v>
      </c>
      <c r="I7" s="4"/>
      <c r="J7" s="4"/>
      <c r="K7" s="4"/>
      <c r="M7" s="5" t="s">
        <v>7</v>
      </c>
      <c r="N7" s="5"/>
      <c r="O7" s="5"/>
    </row>
    <row r="8" customFormat="false" ht="23.85" hidden="false" customHeight="true" outlineLevel="0" collapsed="false">
      <c r="H8" s="4" t="s">
        <v>8</v>
      </c>
      <c r="I8" s="4"/>
      <c r="J8" s="4"/>
      <c r="K8" s="4"/>
      <c r="M8" s="6" t="s">
        <v>9</v>
      </c>
      <c r="N8" s="6"/>
      <c r="O8" s="7" t="n">
        <v>0.2036</v>
      </c>
    </row>
    <row r="9" customFormat="false" ht="23.85" hidden="false" customHeight="true" outlineLevel="0" collapsed="false">
      <c r="A9" s="8" t="s">
        <v>10</v>
      </c>
      <c r="H9" s="4" t="s">
        <v>11</v>
      </c>
      <c r="I9" s="4"/>
      <c r="J9" s="4"/>
      <c r="K9" s="4"/>
      <c r="M9" s="6" t="s">
        <v>12</v>
      </c>
      <c r="N9" s="6"/>
      <c r="O9" s="7" t="n">
        <v>0</v>
      </c>
    </row>
    <row r="10" customFormat="false" ht="23.85" hidden="false" customHeight="true" outlineLevel="0" collapsed="false">
      <c r="H10" s="4" t="s">
        <v>13</v>
      </c>
      <c r="I10" s="4"/>
      <c r="J10" s="4"/>
      <c r="K10" s="4"/>
    </row>
    <row r="11" customFormat="false" ht="15" hidden="false" customHeight="false" outlineLevel="0" collapsed="false">
      <c r="A11" s="9" t="s">
        <v>14</v>
      </c>
      <c r="C11" s="10" t="s">
        <v>15</v>
      </c>
      <c r="D11" s="10"/>
      <c r="E11" s="10"/>
      <c r="F11" s="10"/>
      <c r="G11" s="10"/>
      <c r="H11" s="10"/>
      <c r="I11" s="10"/>
      <c r="J11" s="10"/>
      <c r="K11" s="10"/>
    </row>
    <row r="12" customFormat="false" ht="15" hidden="false" customHeight="false" outlineLevel="0" collapsed="false">
      <c r="A12" s="9" t="s">
        <v>16</v>
      </c>
      <c r="D12" s="9" t="s">
        <v>17</v>
      </c>
    </row>
    <row r="13" customFormat="false" ht="15" hidden="false" customHeight="false" outlineLevel="0" collapsed="false">
      <c r="A13" s="8" t="s">
        <v>18</v>
      </c>
      <c r="C13" s="8" t="n">
        <v>500</v>
      </c>
      <c r="D13" s="8" t="s">
        <v>19</v>
      </c>
      <c r="F13" s="8" t="n">
        <v>800</v>
      </c>
    </row>
    <row r="14" customFormat="false" ht="15" hidden="false" customHeight="false" outlineLevel="0" collapsed="false">
      <c r="A14" s="8" t="s">
        <v>20</v>
      </c>
      <c r="C14" s="8" t="n">
        <v>1200</v>
      </c>
      <c r="D14" s="8" t="s">
        <v>21</v>
      </c>
      <c r="F14" s="8" t="n">
        <v>400</v>
      </c>
    </row>
    <row r="15" customFormat="false" ht="15" hidden="false" customHeight="false" outlineLevel="0" collapsed="false">
      <c r="A15" s="8" t="s">
        <v>22</v>
      </c>
      <c r="C15" s="8" t="n">
        <v>1800</v>
      </c>
      <c r="D15" s="8" t="s">
        <v>23</v>
      </c>
      <c r="F15" s="8" t="n">
        <v>300</v>
      </c>
    </row>
    <row r="16" customFormat="false" ht="15" hidden="false" customHeight="false" outlineLevel="0" collapsed="false">
      <c r="A16" s="8" t="s">
        <v>24</v>
      </c>
      <c r="C16" s="11"/>
      <c r="D16" s="8" t="s">
        <v>25</v>
      </c>
      <c r="F16" s="11"/>
    </row>
    <row r="18" customFormat="false" ht="15" hidden="false" customHeight="false" outlineLevel="0" collapsed="false">
      <c r="A18" s="8" t="s">
        <v>26</v>
      </c>
      <c r="C18" s="8" t="n">
        <v>4000</v>
      </c>
      <c r="D18" s="8" t="s">
        <v>27</v>
      </c>
      <c r="F18" s="8" t="n">
        <v>2500</v>
      </c>
    </row>
    <row r="19" customFormat="false" ht="15" hidden="false" customHeight="false" outlineLevel="0" collapsed="false">
      <c r="D19" s="8" t="s">
        <v>28</v>
      </c>
      <c r="F19" s="11"/>
    </row>
    <row r="20" customFormat="false" ht="15" hidden="false" customHeight="false" outlineLevel="0" collapsed="false">
      <c r="D20" s="8" t="s">
        <v>29</v>
      </c>
      <c r="F20" s="8" t="n">
        <v>3500</v>
      </c>
    </row>
    <row r="21" customFormat="false" ht="15" hidden="false" customHeight="false" outlineLevel="0" collapsed="false">
      <c r="A21" s="8" t="s">
        <v>30</v>
      </c>
      <c r="C21" s="11"/>
      <c r="D21" s="8" t="s">
        <v>31</v>
      </c>
      <c r="F21" s="11"/>
    </row>
    <row r="23" customFormat="false" ht="15" hidden="false" customHeight="false" outlineLevel="0" collapsed="false">
      <c r="A23" s="9" t="s">
        <v>32</v>
      </c>
      <c r="C23" s="10" t="s">
        <v>15</v>
      </c>
      <c r="D23" s="10"/>
      <c r="E23" s="10"/>
      <c r="F23" s="10"/>
      <c r="G23" s="10"/>
      <c r="H23" s="10"/>
      <c r="I23" s="10"/>
      <c r="J23" s="10"/>
      <c r="K23" s="10"/>
    </row>
    <row r="24" customFormat="false" ht="15" hidden="false" customHeight="false" outlineLevel="0" collapsed="false">
      <c r="A24" s="8" t="s">
        <v>33</v>
      </c>
      <c r="C24" s="8" t="n">
        <v>12000</v>
      </c>
    </row>
    <row r="25" customFormat="false" ht="15" hidden="false" customHeight="false" outlineLevel="0" collapsed="false">
      <c r="A25" s="8" t="s">
        <v>34</v>
      </c>
      <c r="C25" s="8" t="n">
        <v>8400</v>
      </c>
    </row>
    <row r="26" customFormat="false" ht="15" hidden="false" customHeight="false" outlineLevel="0" collapsed="false">
      <c r="A26" s="8" t="s">
        <v>35</v>
      </c>
      <c r="C26" s="11"/>
    </row>
    <row r="27" customFormat="false" ht="15" hidden="false" customHeight="false" outlineLevel="0" collapsed="false">
      <c r="A27" s="8" t="s">
        <v>36</v>
      </c>
      <c r="C27" s="8" t="n">
        <v>2400</v>
      </c>
    </row>
    <row r="28" customFormat="false" ht="15" hidden="false" customHeight="false" outlineLevel="0" collapsed="false">
      <c r="A28" s="8" t="s">
        <v>37</v>
      </c>
      <c r="C28" s="11"/>
    </row>
    <row r="29" customFormat="false" ht="15" hidden="false" customHeight="false" outlineLevel="0" collapsed="false">
      <c r="A29" s="8" t="s">
        <v>38</v>
      </c>
      <c r="C29" s="8" t="n">
        <v>250</v>
      </c>
    </row>
    <row r="30" customFormat="false" ht="15" hidden="false" customHeight="false" outlineLevel="0" collapsed="false">
      <c r="A30" s="8" t="s">
        <v>39</v>
      </c>
      <c r="C30" s="11"/>
    </row>
    <row r="31" customFormat="false" ht="15" hidden="false" customHeight="false" outlineLevel="0" collapsed="false">
      <c r="A31" s="8" t="s">
        <v>40</v>
      </c>
      <c r="C31" s="11"/>
    </row>
    <row r="32" customFormat="false" ht="15" hidden="false" customHeight="false" outlineLevel="0" collapsed="false">
      <c r="A32" s="8" t="s">
        <v>41</v>
      </c>
      <c r="C32" s="11"/>
    </row>
    <row r="35" customFormat="false" ht="15" hidden="false" customHeight="false" outlineLevel="0" collapsed="false">
      <c r="A35" s="9" t="s">
        <v>42</v>
      </c>
    </row>
    <row r="37" customFormat="false" ht="15" hidden="false" customHeight="false" outlineLevel="0" collapsed="false">
      <c r="A37" s="8" t="s">
        <v>43</v>
      </c>
    </row>
    <row r="38" customFormat="false" ht="15" hidden="false" customHeight="false" outlineLevel="0" collapsed="false">
      <c r="A38" s="8" t="s">
        <v>44</v>
      </c>
      <c r="B38" s="11"/>
      <c r="D38" s="8" t="s">
        <v>45</v>
      </c>
    </row>
    <row r="40" customFormat="false" ht="15" hidden="false" customHeight="false" outlineLevel="0" collapsed="false">
      <c r="A40" s="8" t="s">
        <v>46</v>
      </c>
    </row>
    <row r="41" customFormat="false" ht="15" hidden="false" customHeight="false" outlineLevel="0" collapsed="false">
      <c r="A41" s="8" t="s">
        <v>47</v>
      </c>
      <c r="B41" s="11"/>
      <c r="D41" s="8" t="s">
        <v>48</v>
      </c>
    </row>
    <row r="44" customFormat="false" ht="15" hidden="false" customHeight="false" outlineLevel="0" collapsed="false">
      <c r="A44" s="9" t="s">
        <v>49</v>
      </c>
    </row>
    <row r="46" customFormat="false" ht="15" hidden="false" customHeight="false" outlineLevel="0" collapsed="false">
      <c r="A46" s="8" t="s">
        <v>50</v>
      </c>
    </row>
    <row r="47" customFormat="false" ht="15" hidden="false" customHeight="false" outlineLevel="0" collapsed="false">
      <c r="A47" s="8" t="s">
        <v>51</v>
      </c>
      <c r="B47" s="11"/>
      <c r="C47" s="8" t="s">
        <v>52</v>
      </c>
      <c r="D47" s="8" t="s">
        <v>53</v>
      </c>
    </row>
    <row r="48" customFormat="false" ht="15" hidden="false" customHeight="false" outlineLevel="0" collapsed="false">
      <c r="A48" s="8" t="s">
        <v>54</v>
      </c>
      <c r="B48" s="11"/>
      <c r="C48" s="8" t="s">
        <v>55</v>
      </c>
    </row>
    <row r="50" customFormat="false" ht="15" hidden="false" customHeight="false" outlineLevel="0" collapsed="false">
      <c r="A50" s="8" t="s">
        <v>56</v>
      </c>
    </row>
    <row r="51" customFormat="false" ht="15" hidden="false" customHeight="false" outlineLevel="0" collapsed="false">
      <c r="A51" s="8" t="s">
        <v>57</v>
      </c>
      <c r="B51" s="11"/>
      <c r="C51" s="8" t="s">
        <v>52</v>
      </c>
    </row>
    <row r="52" customFormat="false" ht="15" hidden="false" customHeight="false" outlineLevel="0" collapsed="false">
      <c r="A52" s="8" t="s">
        <v>58</v>
      </c>
      <c r="B52" s="11"/>
      <c r="C52" s="8" t="s">
        <v>55</v>
      </c>
    </row>
    <row r="54" customFormat="false" ht="15" hidden="false" customHeight="false" outlineLevel="0" collapsed="false">
      <c r="A54" s="8" t="s">
        <v>59</v>
      </c>
    </row>
    <row r="55" customFormat="false" ht="15" hidden="false" customHeight="false" outlineLevel="0" collapsed="false">
      <c r="A55" s="8" t="s">
        <v>60</v>
      </c>
      <c r="B55" s="11"/>
      <c r="C55" s="8" t="s">
        <v>52</v>
      </c>
    </row>
    <row r="56" customFormat="false" ht="15" hidden="false" customHeight="false" outlineLevel="0" collapsed="false">
      <c r="A56" s="8" t="s">
        <v>61</v>
      </c>
      <c r="B56" s="11"/>
      <c r="C56" s="8" t="s">
        <v>55</v>
      </c>
    </row>
    <row r="59" customFormat="false" ht="15" hidden="false" customHeight="false" outlineLevel="0" collapsed="false">
      <c r="A59" s="9" t="s">
        <v>62</v>
      </c>
    </row>
    <row r="61" customFormat="false" ht="15" hidden="false" customHeight="false" outlineLevel="0" collapsed="false">
      <c r="A61" s="8" t="s">
        <v>63</v>
      </c>
    </row>
    <row r="62" customFormat="false" ht="15" hidden="false" customHeight="false" outlineLevel="0" collapsed="false">
      <c r="A62" s="8" t="s">
        <v>64</v>
      </c>
    </row>
    <row r="64" customFormat="false" ht="15" hidden="false" customHeight="false" outlineLevel="0" collapsed="false">
      <c r="A64" s="8" t="s">
        <v>54</v>
      </c>
      <c r="B64" s="11"/>
      <c r="C64" s="8" t="s">
        <v>55</v>
      </c>
    </row>
    <row r="65" customFormat="false" ht="15" hidden="false" customHeight="false" outlineLevel="0" collapsed="false">
      <c r="A65" s="8" t="s">
        <v>58</v>
      </c>
      <c r="B65" s="11"/>
      <c r="C65" s="8" t="s">
        <v>55</v>
      </c>
    </row>
    <row r="66" customFormat="false" ht="15" hidden="false" customHeight="false" outlineLevel="0" collapsed="false">
      <c r="A66" s="8" t="s">
        <v>61</v>
      </c>
      <c r="B66" s="11"/>
      <c r="C66" s="8" t="s">
        <v>55</v>
      </c>
    </row>
    <row r="67" customFormat="false" ht="15" hidden="false" customHeight="false" outlineLevel="0" collapsed="false">
      <c r="A67" s="8" t="s">
        <v>65</v>
      </c>
      <c r="B67" s="11"/>
      <c r="C67" s="8" t="s">
        <v>55</v>
      </c>
    </row>
    <row r="69" customFormat="false" ht="15" hidden="false" customHeight="false" outlineLevel="0" collapsed="false">
      <c r="A69" s="8" t="s">
        <v>66</v>
      </c>
    </row>
    <row r="72" customFormat="false" ht="15" hidden="false" customHeight="false" outlineLevel="0" collapsed="false">
      <c r="A72" s="8" t="s">
        <v>67</v>
      </c>
    </row>
    <row r="74" customFormat="false" ht="15" hidden="false" customHeight="false" outlineLevel="0" collapsed="false">
      <c r="A74" s="8" t="s">
        <v>68</v>
      </c>
    </row>
    <row r="75" customFormat="false" ht="15" hidden="false" customHeight="false" outlineLevel="0" collapsed="false">
      <c r="A75" s="8" t="s">
        <v>12</v>
      </c>
      <c r="B75" s="11"/>
      <c r="D75" s="8" t="s">
        <v>69</v>
      </c>
    </row>
    <row r="77" customFormat="false" ht="15" hidden="false" customHeight="false" outlineLevel="0" collapsed="false">
      <c r="A77" s="8" t="s">
        <v>70</v>
      </c>
    </row>
    <row r="78" customFormat="false" ht="15" hidden="false" customHeight="false" outlineLevel="0" collapsed="false">
      <c r="A78" s="8" t="s">
        <v>71</v>
      </c>
      <c r="B78" s="11"/>
      <c r="D78" s="8" t="s">
        <v>72</v>
      </c>
    </row>
    <row r="81" customFormat="false" ht="15" hidden="false" customHeight="false" outlineLevel="0" collapsed="false">
      <c r="A81" s="8" t="s">
        <v>73</v>
      </c>
    </row>
    <row r="83" customFormat="false" ht="15" hidden="false" customHeight="false" outlineLevel="0" collapsed="false">
      <c r="A83" s="8" t="s">
        <v>74</v>
      </c>
    </row>
    <row r="84" customFormat="false" ht="15" hidden="false" customHeight="false" outlineLevel="0" collapsed="false">
      <c r="A84" s="8" t="s">
        <v>75</v>
      </c>
      <c r="B84" s="11"/>
    </row>
    <row r="86" customFormat="false" ht="15" hidden="false" customHeight="false" outlineLevel="0" collapsed="false">
      <c r="A86" s="8" t="s">
        <v>76</v>
      </c>
    </row>
    <row r="87" customFormat="false" ht="15" hidden="false" customHeight="false" outlineLevel="0" collapsed="false">
      <c r="A87" s="8" t="s">
        <v>77</v>
      </c>
      <c r="B87" s="11"/>
    </row>
    <row r="89" customFormat="false" ht="15" hidden="false" customHeight="false" outlineLevel="0" collapsed="false">
      <c r="A89" s="8" t="s">
        <v>78</v>
      </c>
    </row>
    <row r="90" customFormat="false" ht="15" hidden="false" customHeight="false" outlineLevel="0" collapsed="false">
      <c r="A90" s="8" t="s">
        <v>79</v>
      </c>
      <c r="B90" s="11"/>
    </row>
    <row r="92" customFormat="false" ht="15" hidden="false" customHeight="false" outlineLevel="0" collapsed="false">
      <c r="A92" s="8" t="s">
        <v>80</v>
      </c>
    </row>
    <row r="93" customFormat="false" ht="15" hidden="false" customHeight="false" outlineLevel="0" collapsed="false">
      <c r="A93" s="8" t="s">
        <v>81</v>
      </c>
      <c r="B93" s="11"/>
    </row>
    <row r="95" customFormat="false" ht="15" hidden="false" customHeight="false" outlineLevel="0" collapsed="false">
      <c r="A95" s="8" t="s">
        <v>82</v>
      </c>
    </row>
    <row r="96" customFormat="false" ht="15" hidden="false" customHeight="false" outlineLevel="0" collapsed="false">
      <c r="A96" s="9" t="s">
        <v>9</v>
      </c>
      <c r="B96" s="12"/>
    </row>
    <row r="99" customFormat="false" ht="15" hidden="false" customHeight="false" outlineLevel="0" collapsed="false">
      <c r="A99" s="8" t="s">
        <v>83</v>
      </c>
    </row>
    <row r="100" customFormat="false" ht="15" hidden="false" customHeight="false" outlineLevel="0" collapsed="false">
      <c r="A100" s="8" t="s">
        <v>84</v>
      </c>
      <c r="B100" s="8" t="s">
        <v>85</v>
      </c>
      <c r="C100" s="8" t="s">
        <v>86</v>
      </c>
      <c r="D100" s="8" t="s">
        <v>87</v>
      </c>
    </row>
    <row r="101" customFormat="false" ht="15" hidden="false" customHeight="false" outlineLevel="0" collapsed="false">
      <c r="A101" s="8" t="s">
        <v>44</v>
      </c>
      <c r="B101" s="11"/>
      <c r="C101" s="8" t="s">
        <v>88</v>
      </c>
      <c r="D101" s="11"/>
    </row>
    <row r="102" customFormat="false" ht="15" hidden="false" customHeight="false" outlineLevel="0" collapsed="false">
      <c r="A102" s="8" t="s">
        <v>89</v>
      </c>
      <c r="B102" s="11"/>
      <c r="C102" s="8" t="s">
        <v>90</v>
      </c>
      <c r="D102" s="11"/>
    </row>
    <row r="103" customFormat="false" ht="15" hidden="false" customHeight="false" outlineLevel="0" collapsed="false">
      <c r="A103" s="8" t="s">
        <v>91</v>
      </c>
      <c r="B103" s="11"/>
      <c r="C103" s="8" t="s">
        <v>92</v>
      </c>
      <c r="D103" s="11"/>
    </row>
    <row r="104" customFormat="false" ht="15" hidden="false" customHeight="false" outlineLevel="0" collapsed="false">
      <c r="A104" s="9" t="s">
        <v>12</v>
      </c>
      <c r="B104" s="12"/>
      <c r="C104" s="9" t="s">
        <v>93</v>
      </c>
      <c r="D104" s="12"/>
    </row>
    <row r="105" customFormat="false" ht="15" hidden="false" customHeight="false" outlineLevel="0" collapsed="false">
      <c r="A105" s="8" t="s">
        <v>79</v>
      </c>
      <c r="B105" s="11"/>
      <c r="C105" s="8" t="s">
        <v>94</v>
      </c>
      <c r="D105" s="11"/>
    </row>
    <row r="108" customFormat="false" ht="15" hidden="false" customHeight="false" outlineLevel="0" collapsed="false">
      <c r="A108" s="8" t="s">
        <v>95</v>
      </c>
    </row>
    <row r="110" customFormat="false" ht="15" hidden="false" customHeight="false" outlineLevel="0" collapsed="false">
      <c r="A110" s="8" t="s">
        <v>96</v>
      </c>
      <c r="E110" s="8" t="s">
        <v>97</v>
      </c>
    </row>
    <row r="111" customFormat="false" ht="15" hidden="false" customHeight="false" outlineLevel="0" collapsed="false">
      <c r="A111" s="8" t="s">
        <v>98</v>
      </c>
      <c r="E111" s="8" t="s">
        <v>97</v>
      </c>
    </row>
    <row r="112" customFormat="false" ht="15" hidden="false" customHeight="false" outlineLevel="0" collapsed="false">
      <c r="A112" s="8" t="s">
        <v>99</v>
      </c>
      <c r="E112" s="8" t="s">
        <v>97</v>
      </c>
    </row>
    <row r="113" customFormat="false" ht="15" hidden="false" customHeight="false" outlineLevel="0" collapsed="false">
      <c r="A113" s="8" t="s">
        <v>100</v>
      </c>
      <c r="E113" s="8" t="s">
        <v>97</v>
      </c>
    </row>
    <row r="114" customFormat="false" ht="15" hidden="false" customHeight="false" outlineLevel="0" collapsed="false">
      <c r="A114" s="8" t="s">
        <v>101</v>
      </c>
      <c r="E114" s="8" t="s">
        <v>97</v>
      </c>
    </row>
    <row r="115" customFormat="false" ht="15" hidden="false" customHeight="false" outlineLevel="0" collapsed="false">
      <c r="A115" s="8" t="s">
        <v>102</v>
      </c>
      <c r="E115" s="8" t="s">
        <v>97</v>
      </c>
    </row>
  </sheetData>
  <mergeCells count="15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M9:N9"/>
    <mergeCell ref="H10:K10"/>
    <mergeCell ref="C11:K11"/>
    <mergeCell ref="C23:K2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8" style="0" width="20"/>
    <col collapsed="false" customWidth="true" hidden="false" outlineLevel="0" max="13" min="13" style="0" width="2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103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3" t="s">
        <v>104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H6" s="1" t="s">
        <v>4</v>
      </c>
      <c r="I6" s="1"/>
      <c r="J6" s="1"/>
      <c r="K6" s="1"/>
      <c r="M6" s="1" t="s">
        <v>5</v>
      </c>
      <c r="N6" s="1"/>
      <c r="O6" s="1"/>
    </row>
    <row r="7" customFormat="false" ht="23.85" hidden="false" customHeight="true" outlineLevel="0" collapsed="false">
      <c r="H7" s="4" t="s">
        <v>6</v>
      </c>
      <c r="I7" s="4"/>
      <c r="J7" s="4"/>
      <c r="K7" s="4"/>
      <c r="M7" s="5" t="s">
        <v>7</v>
      </c>
      <c r="N7" s="5"/>
      <c r="O7" s="5"/>
    </row>
    <row r="8" customFormat="false" ht="23.85" hidden="false" customHeight="true" outlineLevel="0" collapsed="false">
      <c r="H8" s="4" t="s">
        <v>8</v>
      </c>
      <c r="I8" s="4"/>
      <c r="J8" s="4"/>
      <c r="K8" s="4"/>
      <c r="M8" s="6" t="s">
        <v>9</v>
      </c>
      <c r="N8" s="6"/>
      <c r="O8" s="7" t="n">
        <v>0.2036</v>
      </c>
    </row>
    <row r="9" customFormat="false" ht="23.85" hidden="false" customHeight="true" outlineLevel="0" collapsed="false">
      <c r="A9" s="8" t="s">
        <v>10</v>
      </c>
      <c r="H9" s="4" t="s">
        <v>11</v>
      </c>
      <c r="I9" s="4"/>
      <c r="J9" s="4"/>
      <c r="K9" s="4"/>
      <c r="M9" s="6" t="s">
        <v>12</v>
      </c>
      <c r="N9" s="6"/>
      <c r="O9" s="7" t="n">
        <v>0</v>
      </c>
    </row>
    <row r="10" customFormat="false" ht="23.85" hidden="false" customHeight="true" outlineLevel="0" collapsed="false">
      <c r="H10" s="4" t="s">
        <v>13</v>
      </c>
      <c r="I10" s="4"/>
      <c r="J10" s="4"/>
      <c r="K10" s="4"/>
    </row>
    <row r="11" customFormat="false" ht="15" hidden="false" customHeight="false" outlineLevel="0" collapsed="false">
      <c r="A11" s="9" t="s">
        <v>14</v>
      </c>
      <c r="C11" s="10" t="s">
        <v>15</v>
      </c>
      <c r="D11" s="10"/>
      <c r="E11" s="10"/>
      <c r="F11" s="10"/>
      <c r="G11" s="10"/>
      <c r="H11" s="10"/>
      <c r="I11" s="10"/>
      <c r="J11" s="10"/>
      <c r="K11" s="10"/>
    </row>
    <row r="12" customFormat="false" ht="15" hidden="false" customHeight="false" outlineLevel="0" collapsed="false">
      <c r="A12" s="9" t="s">
        <v>16</v>
      </c>
      <c r="D12" s="9" t="s">
        <v>17</v>
      </c>
    </row>
    <row r="13" customFormat="false" ht="15" hidden="false" customHeight="false" outlineLevel="0" collapsed="false">
      <c r="A13" s="8" t="s">
        <v>18</v>
      </c>
      <c r="C13" s="8" t="n">
        <v>500</v>
      </c>
      <c r="D13" s="8" t="s">
        <v>19</v>
      </c>
      <c r="F13" s="8" t="n">
        <v>800</v>
      </c>
    </row>
    <row r="14" customFormat="false" ht="15" hidden="false" customHeight="false" outlineLevel="0" collapsed="false">
      <c r="A14" s="8" t="s">
        <v>20</v>
      </c>
      <c r="C14" s="8" t="n">
        <v>1200</v>
      </c>
      <c r="D14" s="8" t="s">
        <v>21</v>
      </c>
      <c r="F14" s="8" t="n">
        <v>400</v>
      </c>
    </row>
    <row r="15" customFormat="false" ht="15" hidden="false" customHeight="false" outlineLevel="0" collapsed="false">
      <c r="A15" s="8" t="s">
        <v>22</v>
      </c>
      <c r="C15" s="8" t="n">
        <v>1800</v>
      </c>
      <c r="D15" s="8" t="s">
        <v>23</v>
      </c>
      <c r="F15" s="8" t="n">
        <v>300</v>
      </c>
    </row>
    <row r="16" customFormat="false" ht="15" hidden="false" customHeight="false" outlineLevel="0" collapsed="false">
      <c r="A16" s="8" t="s">
        <v>24</v>
      </c>
      <c r="C16" s="11" t="n">
        <f aca="false">SUM(C13:C15)</f>
        <v>3500</v>
      </c>
      <c r="D16" s="8" t="s">
        <v>25</v>
      </c>
      <c r="F16" s="11" t="n">
        <f aca="false">SUM(F13:F15)</f>
        <v>1500</v>
      </c>
    </row>
    <row r="18" customFormat="false" ht="15" hidden="false" customHeight="false" outlineLevel="0" collapsed="false">
      <c r="A18" s="8" t="s">
        <v>26</v>
      </c>
      <c r="C18" s="8" t="n">
        <v>4000</v>
      </c>
      <c r="D18" s="8" t="s">
        <v>27</v>
      </c>
      <c r="F18" s="8" t="n">
        <v>2500</v>
      </c>
    </row>
    <row r="19" customFormat="false" ht="15" hidden="false" customHeight="false" outlineLevel="0" collapsed="false">
      <c r="D19" s="8" t="s">
        <v>28</v>
      </c>
      <c r="F19" s="11" t="n">
        <f aca="false">F16+F18</f>
        <v>4000</v>
      </c>
    </row>
    <row r="20" customFormat="false" ht="15" hidden="false" customHeight="false" outlineLevel="0" collapsed="false">
      <c r="D20" s="8" t="s">
        <v>29</v>
      </c>
      <c r="F20" s="8" t="n">
        <v>3500</v>
      </c>
    </row>
    <row r="21" customFormat="false" ht="15" hidden="false" customHeight="false" outlineLevel="0" collapsed="false">
      <c r="A21" s="8" t="s">
        <v>30</v>
      </c>
      <c r="C21" s="11" t="n">
        <f aca="false">C16+C18</f>
        <v>7500</v>
      </c>
      <c r="D21" s="8" t="s">
        <v>31</v>
      </c>
      <c r="F21" s="11" t="n">
        <f aca="false">F19+F20</f>
        <v>7500</v>
      </c>
    </row>
    <row r="23" customFormat="false" ht="15" hidden="false" customHeight="false" outlineLevel="0" collapsed="false">
      <c r="A23" s="9" t="s">
        <v>32</v>
      </c>
      <c r="C23" s="10" t="s">
        <v>15</v>
      </c>
      <c r="D23" s="10"/>
      <c r="E23" s="10"/>
      <c r="F23" s="10"/>
      <c r="G23" s="10"/>
      <c r="H23" s="10"/>
      <c r="I23" s="10"/>
      <c r="J23" s="10"/>
      <c r="K23" s="10"/>
    </row>
    <row r="24" customFormat="false" ht="15" hidden="false" customHeight="false" outlineLevel="0" collapsed="false">
      <c r="A24" s="8" t="s">
        <v>33</v>
      </c>
      <c r="C24" s="8" t="n">
        <v>12000</v>
      </c>
    </row>
    <row r="25" customFormat="false" ht="15" hidden="false" customHeight="false" outlineLevel="0" collapsed="false">
      <c r="A25" s="8" t="s">
        <v>34</v>
      </c>
      <c r="C25" s="8" t="n">
        <v>8400</v>
      </c>
    </row>
    <row r="26" customFormat="false" ht="15" hidden="false" customHeight="false" outlineLevel="0" collapsed="false">
      <c r="A26" s="8" t="s">
        <v>35</v>
      </c>
      <c r="C26" s="11" t="n">
        <f aca="false">C24-C25</f>
        <v>3600</v>
      </c>
    </row>
    <row r="27" customFormat="false" ht="15" hidden="false" customHeight="false" outlineLevel="0" collapsed="false">
      <c r="A27" s="8" t="s">
        <v>36</v>
      </c>
      <c r="C27" s="8" t="n">
        <v>2400</v>
      </c>
    </row>
    <row r="28" customFormat="false" ht="15" hidden="false" customHeight="false" outlineLevel="0" collapsed="false">
      <c r="A28" s="8" t="s">
        <v>37</v>
      </c>
      <c r="C28" s="11" t="n">
        <f aca="false">C26-C27</f>
        <v>1200</v>
      </c>
    </row>
    <row r="29" customFormat="false" ht="15" hidden="false" customHeight="false" outlineLevel="0" collapsed="false">
      <c r="A29" s="8" t="s">
        <v>38</v>
      </c>
      <c r="C29" s="8" t="n">
        <v>250</v>
      </c>
    </row>
    <row r="30" customFormat="false" ht="15" hidden="false" customHeight="false" outlineLevel="0" collapsed="false">
      <c r="A30" s="8" t="s">
        <v>39</v>
      </c>
      <c r="C30" s="11" t="n">
        <f aca="false">C28-C29</f>
        <v>950</v>
      </c>
    </row>
    <row r="31" customFormat="false" ht="15" hidden="false" customHeight="false" outlineLevel="0" collapsed="false">
      <c r="A31" s="8" t="s">
        <v>40</v>
      </c>
      <c r="C31" s="11" t="n">
        <f aca="false">C30*0.25</f>
        <v>237.5</v>
      </c>
    </row>
    <row r="32" customFormat="false" ht="15" hidden="false" customHeight="false" outlineLevel="0" collapsed="false">
      <c r="A32" s="8" t="s">
        <v>41</v>
      </c>
      <c r="C32" s="11" t="n">
        <f aca="false">C30-C31</f>
        <v>712.5</v>
      </c>
    </row>
    <row r="35" customFormat="false" ht="15" hidden="false" customHeight="false" outlineLevel="0" collapsed="false">
      <c r="A35" s="9" t="s">
        <v>42</v>
      </c>
    </row>
    <row r="37" customFormat="false" ht="15" hidden="false" customHeight="false" outlineLevel="0" collapsed="false">
      <c r="A37" s="8" t="s">
        <v>43</v>
      </c>
    </row>
    <row r="38" customFormat="false" ht="15" hidden="false" customHeight="false" outlineLevel="0" collapsed="false">
      <c r="A38" s="8" t="s">
        <v>44</v>
      </c>
      <c r="B38" s="11" t="n">
        <f aca="false">C16/F16</f>
        <v>2.33333333333333</v>
      </c>
      <c r="D38" s="8" t="s">
        <v>45</v>
      </c>
    </row>
    <row r="40" customFormat="false" ht="15" hidden="false" customHeight="false" outlineLevel="0" collapsed="false">
      <c r="A40" s="8" t="s">
        <v>46</v>
      </c>
    </row>
    <row r="41" customFormat="false" ht="15" hidden="false" customHeight="false" outlineLevel="0" collapsed="false">
      <c r="A41" s="8" t="s">
        <v>47</v>
      </c>
      <c r="B41" s="11" t="n">
        <f aca="false">(C16-C15)/F16</f>
        <v>1.13333333333333</v>
      </c>
      <c r="D41" s="8" t="s">
        <v>48</v>
      </c>
    </row>
    <row r="44" customFormat="false" ht="15" hidden="false" customHeight="false" outlineLevel="0" collapsed="false">
      <c r="A44" s="9" t="s">
        <v>49</v>
      </c>
    </row>
    <row r="46" customFormat="false" ht="15" hidden="false" customHeight="false" outlineLevel="0" collapsed="false">
      <c r="A46" s="8" t="s">
        <v>50</v>
      </c>
    </row>
    <row r="47" customFormat="false" ht="15" hidden="false" customHeight="false" outlineLevel="0" collapsed="false">
      <c r="A47" s="8" t="s">
        <v>51</v>
      </c>
      <c r="B47" s="11" t="n">
        <f aca="false">C25/C15</f>
        <v>4.66666666666667</v>
      </c>
      <c r="C47" s="8" t="s">
        <v>52</v>
      </c>
      <c r="D47" s="8" t="s">
        <v>53</v>
      </c>
    </row>
    <row r="48" customFormat="false" ht="15" hidden="false" customHeight="false" outlineLevel="0" collapsed="false">
      <c r="A48" s="8" t="s">
        <v>54</v>
      </c>
      <c r="B48" s="11" t="n">
        <f aca="false">365/B47</f>
        <v>78.2142857142857</v>
      </c>
      <c r="C48" s="8" t="s">
        <v>55</v>
      </c>
    </row>
    <row r="50" customFormat="false" ht="15" hidden="false" customHeight="false" outlineLevel="0" collapsed="false">
      <c r="A50" s="8" t="s">
        <v>56</v>
      </c>
    </row>
    <row r="51" customFormat="false" ht="15" hidden="false" customHeight="false" outlineLevel="0" collapsed="false">
      <c r="A51" s="8" t="s">
        <v>57</v>
      </c>
      <c r="B51" s="11" t="n">
        <f aca="false">C24/C14</f>
        <v>10</v>
      </c>
      <c r="C51" s="8" t="s">
        <v>52</v>
      </c>
    </row>
    <row r="52" customFormat="false" ht="15" hidden="false" customHeight="false" outlineLevel="0" collapsed="false">
      <c r="A52" s="8" t="s">
        <v>58</v>
      </c>
      <c r="B52" s="11" t="n">
        <f aca="false">365/B51</f>
        <v>36.5</v>
      </c>
      <c r="C52" s="8" t="s">
        <v>55</v>
      </c>
    </row>
    <row r="54" customFormat="false" ht="15" hidden="false" customHeight="false" outlineLevel="0" collapsed="false">
      <c r="A54" s="8" t="s">
        <v>59</v>
      </c>
    </row>
    <row r="55" customFormat="false" ht="15" hidden="false" customHeight="false" outlineLevel="0" collapsed="false">
      <c r="A55" s="8" t="s">
        <v>60</v>
      </c>
      <c r="B55" s="11" t="n">
        <f aca="false">C25/F13</f>
        <v>10.5</v>
      </c>
      <c r="C55" s="8" t="s">
        <v>52</v>
      </c>
    </row>
    <row r="56" customFormat="false" ht="15" hidden="false" customHeight="false" outlineLevel="0" collapsed="false">
      <c r="A56" s="8" t="s">
        <v>61</v>
      </c>
      <c r="B56" s="11" t="n">
        <f aca="false">365/B55</f>
        <v>34.7619047619048</v>
      </c>
      <c r="C56" s="8" t="s">
        <v>55</v>
      </c>
    </row>
    <row r="59" customFormat="false" ht="15" hidden="false" customHeight="false" outlineLevel="0" collapsed="false">
      <c r="A59" s="9" t="s">
        <v>62</v>
      </c>
    </row>
    <row r="61" customFormat="false" ht="15" hidden="false" customHeight="false" outlineLevel="0" collapsed="false">
      <c r="A61" s="8" t="s">
        <v>63</v>
      </c>
    </row>
    <row r="62" customFormat="false" ht="15" hidden="false" customHeight="false" outlineLevel="0" collapsed="false">
      <c r="A62" s="8" t="s">
        <v>64</v>
      </c>
    </row>
    <row r="64" customFormat="false" ht="15" hidden="false" customHeight="false" outlineLevel="0" collapsed="false">
      <c r="A64" s="8" t="s">
        <v>54</v>
      </c>
      <c r="B64" s="11" t="n">
        <f aca="false">B48</f>
        <v>78.2142857142857</v>
      </c>
      <c r="C64" s="8" t="s">
        <v>55</v>
      </c>
    </row>
    <row r="65" customFormat="false" ht="15" hidden="false" customHeight="false" outlineLevel="0" collapsed="false">
      <c r="A65" s="8" t="s">
        <v>58</v>
      </c>
      <c r="B65" s="11" t="n">
        <f aca="false">B52</f>
        <v>36.5</v>
      </c>
      <c r="C65" s="8" t="s">
        <v>55</v>
      </c>
    </row>
    <row r="66" customFormat="false" ht="15" hidden="false" customHeight="false" outlineLevel="0" collapsed="false">
      <c r="A66" s="8" t="s">
        <v>61</v>
      </c>
      <c r="B66" s="11" t="n">
        <f aca="false">B56</f>
        <v>34.7619047619048</v>
      </c>
      <c r="C66" s="8" t="s">
        <v>55</v>
      </c>
    </row>
    <row r="67" customFormat="false" ht="15" hidden="false" customHeight="false" outlineLevel="0" collapsed="false">
      <c r="A67" s="8" t="s">
        <v>65</v>
      </c>
      <c r="B67" s="11" t="n">
        <f aca="false">B64+B65-B66</f>
        <v>79.952380952381</v>
      </c>
      <c r="C67" s="8" t="s">
        <v>55</v>
      </c>
    </row>
    <row r="69" customFormat="false" ht="15" hidden="false" customHeight="false" outlineLevel="0" collapsed="false">
      <c r="A69" s="8" t="s">
        <v>66</v>
      </c>
    </row>
    <row r="72" customFormat="false" ht="15" hidden="false" customHeight="false" outlineLevel="0" collapsed="false">
      <c r="A72" s="8" t="s">
        <v>67</v>
      </c>
    </row>
    <row r="74" customFormat="false" ht="15" hidden="false" customHeight="false" outlineLevel="0" collapsed="false">
      <c r="A74" s="8" t="s">
        <v>68</v>
      </c>
    </row>
    <row r="75" customFormat="false" ht="15" hidden="false" customHeight="false" outlineLevel="0" collapsed="false">
      <c r="A75" s="8" t="s">
        <v>12</v>
      </c>
      <c r="B75" s="11" t="n">
        <f aca="false">F19/C21</f>
        <v>0.533333333333333</v>
      </c>
      <c r="D75" s="8" t="s">
        <v>69</v>
      </c>
    </row>
    <row r="77" customFormat="false" ht="15" hidden="false" customHeight="false" outlineLevel="0" collapsed="false">
      <c r="A77" s="8" t="s">
        <v>70</v>
      </c>
    </row>
    <row r="78" customFormat="false" ht="15" hidden="false" customHeight="false" outlineLevel="0" collapsed="false">
      <c r="A78" s="8" t="s">
        <v>71</v>
      </c>
      <c r="B78" s="11" t="n">
        <f aca="false">F19/F20</f>
        <v>1.14285714285714</v>
      </c>
      <c r="D78" s="8" t="s">
        <v>72</v>
      </c>
    </row>
    <row r="81" customFormat="false" ht="15" hidden="false" customHeight="false" outlineLevel="0" collapsed="false">
      <c r="A81" s="8" t="s">
        <v>73</v>
      </c>
    </row>
    <row r="83" customFormat="false" ht="15" hidden="false" customHeight="false" outlineLevel="0" collapsed="false">
      <c r="A83" s="8" t="s">
        <v>74</v>
      </c>
    </row>
    <row r="84" customFormat="false" ht="15" hidden="false" customHeight="false" outlineLevel="0" collapsed="false">
      <c r="A84" s="8" t="s">
        <v>75</v>
      </c>
      <c r="B84" s="11" t="n">
        <f aca="false">C26/C24</f>
        <v>0.3</v>
      </c>
    </row>
    <row r="86" customFormat="false" ht="15" hidden="false" customHeight="false" outlineLevel="0" collapsed="false">
      <c r="A86" s="8" t="s">
        <v>76</v>
      </c>
    </row>
    <row r="87" customFormat="false" ht="15" hidden="false" customHeight="false" outlineLevel="0" collapsed="false">
      <c r="A87" s="8" t="s">
        <v>77</v>
      </c>
      <c r="B87" s="11" t="n">
        <f aca="false">C28/C24</f>
        <v>0.1</v>
      </c>
    </row>
    <row r="89" customFormat="false" ht="15" hidden="false" customHeight="false" outlineLevel="0" collapsed="false">
      <c r="A89" s="8" t="s">
        <v>78</v>
      </c>
    </row>
    <row r="90" customFormat="false" ht="15" hidden="false" customHeight="false" outlineLevel="0" collapsed="false">
      <c r="A90" s="8" t="s">
        <v>79</v>
      </c>
      <c r="B90" s="11" t="n">
        <f aca="false">C32/C24</f>
        <v>0.059375</v>
      </c>
    </row>
    <row r="92" customFormat="false" ht="15" hidden="false" customHeight="false" outlineLevel="0" collapsed="false">
      <c r="A92" s="8" t="s">
        <v>80</v>
      </c>
    </row>
    <row r="93" customFormat="false" ht="15" hidden="false" customHeight="false" outlineLevel="0" collapsed="false">
      <c r="A93" s="8" t="s">
        <v>81</v>
      </c>
      <c r="B93" s="11" t="n">
        <f aca="false">C32/C21</f>
        <v>0.095</v>
      </c>
    </row>
    <row r="95" customFormat="false" ht="15" hidden="false" customHeight="false" outlineLevel="0" collapsed="false">
      <c r="A95" s="8" t="s">
        <v>82</v>
      </c>
    </row>
    <row r="96" customFormat="false" ht="15" hidden="false" customHeight="false" outlineLevel="0" collapsed="false">
      <c r="A96" s="9" t="s">
        <v>9</v>
      </c>
      <c r="B96" s="12" t="n">
        <f aca="false">C32/F20</f>
        <v>0.203571428571429</v>
      </c>
    </row>
    <row r="99" customFormat="false" ht="15" hidden="false" customHeight="false" outlineLevel="0" collapsed="false">
      <c r="A99" s="8" t="s">
        <v>83</v>
      </c>
    </row>
    <row r="100" customFormat="false" ht="15" hidden="false" customHeight="false" outlineLevel="0" collapsed="false">
      <c r="A100" s="8" t="s">
        <v>84</v>
      </c>
      <c r="B100" s="8" t="s">
        <v>85</v>
      </c>
      <c r="C100" s="8" t="s">
        <v>86</v>
      </c>
      <c r="D100" s="8" t="s">
        <v>87</v>
      </c>
    </row>
    <row r="101" customFormat="false" ht="15" hidden="false" customHeight="false" outlineLevel="0" collapsed="false">
      <c r="A101" s="8" t="s">
        <v>44</v>
      </c>
      <c r="B101" s="11" t="n">
        <f aca="false">B38</f>
        <v>2.33333333333333</v>
      </c>
      <c r="C101" s="8" t="s">
        <v>88</v>
      </c>
      <c r="D101" s="11" t="str">
        <f aca="false">IF(B38&gt;=2,"✓ Healthy","⚠ Low")</f>
        <v>✓ Healthy</v>
      </c>
    </row>
    <row r="102" customFormat="false" ht="15" hidden="false" customHeight="false" outlineLevel="0" collapsed="false">
      <c r="A102" s="8" t="s">
        <v>89</v>
      </c>
      <c r="B102" s="11" t="n">
        <f aca="false">B41</f>
        <v>1.13333333333333</v>
      </c>
      <c r="C102" s="8" t="s">
        <v>90</v>
      </c>
      <c r="D102" s="11" t="str">
        <f aca="false">IF(B41&gt;=1,"✓ Healthy","⚠ Low")</f>
        <v>✓ Healthy</v>
      </c>
    </row>
    <row r="103" customFormat="false" ht="15" hidden="false" customHeight="false" outlineLevel="0" collapsed="false">
      <c r="A103" s="8" t="s">
        <v>91</v>
      </c>
      <c r="B103" s="11" t="n">
        <f aca="false">B66</f>
        <v>34.7619047619048</v>
      </c>
      <c r="C103" s="8" t="s">
        <v>92</v>
      </c>
      <c r="D103" s="11" t="str">
        <f aca="false">IF(B66&lt;60,"✓ Good","⚠ High")</f>
        <v>✓ Good</v>
      </c>
    </row>
    <row r="104" customFormat="false" ht="15" hidden="false" customHeight="false" outlineLevel="0" collapsed="false">
      <c r="A104" s="9" t="s">
        <v>12</v>
      </c>
      <c r="B104" s="12" t="n">
        <f aca="false">B73</f>
        <v>0</v>
      </c>
      <c r="C104" s="9" t="s">
        <v>93</v>
      </c>
      <c r="D104" s="12" t="str">
        <f aca="false">IF(B73&lt;0.5,"✓ Low Risk","⚠ High")</f>
        <v>✓ Low Risk</v>
      </c>
    </row>
    <row r="105" customFormat="false" ht="15" hidden="false" customHeight="false" outlineLevel="0" collapsed="false">
      <c r="A105" s="8" t="s">
        <v>79</v>
      </c>
      <c r="B105" s="11" t="n">
        <f aca="false">B86</f>
        <v>0</v>
      </c>
      <c r="C105" s="8" t="s">
        <v>94</v>
      </c>
      <c r="D105" s="11" t="str">
        <f aca="false">IF(B86&gt;0.05,"✓ Good","⚠ Low")</f>
        <v>⚠ Low</v>
      </c>
    </row>
    <row r="108" customFormat="false" ht="15" hidden="false" customHeight="false" outlineLevel="0" collapsed="false">
      <c r="A108" s="8" t="s">
        <v>95</v>
      </c>
    </row>
    <row r="110" customFormat="false" ht="15" hidden="false" customHeight="false" outlineLevel="0" collapsed="false">
      <c r="A110" s="8" t="s">
        <v>96</v>
      </c>
      <c r="E110" s="8" t="s">
        <v>97</v>
      </c>
    </row>
    <row r="111" customFormat="false" ht="15" hidden="false" customHeight="false" outlineLevel="0" collapsed="false">
      <c r="A111" s="8" t="s">
        <v>98</v>
      </c>
      <c r="E111" s="8" t="s">
        <v>97</v>
      </c>
    </row>
    <row r="112" customFormat="false" ht="15" hidden="false" customHeight="false" outlineLevel="0" collapsed="false">
      <c r="A112" s="8" t="s">
        <v>99</v>
      </c>
      <c r="E112" s="8" t="s">
        <v>97</v>
      </c>
    </row>
    <row r="113" customFormat="false" ht="15" hidden="false" customHeight="false" outlineLevel="0" collapsed="false">
      <c r="A113" s="8" t="s">
        <v>100</v>
      </c>
      <c r="E113" s="8" t="s">
        <v>97</v>
      </c>
    </row>
    <row r="114" customFormat="false" ht="15" hidden="false" customHeight="false" outlineLevel="0" collapsed="false">
      <c r="A114" s="8" t="s">
        <v>101</v>
      </c>
      <c r="E114" s="8" t="s">
        <v>97</v>
      </c>
    </row>
    <row r="115" customFormat="false" ht="15" hidden="false" customHeight="false" outlineLevel="0" collapsed="false">
      <c r="A115" s="8" t="s">
        <v>102</v>
      </c>
      <c r="E115" s="8" t="s">
        <v>97</v>
      </c>
    </row>
  </sheetData>
  <mergeCells count="15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M9:N9"/>
    <mergeCell ref="H10:K10"/>
    <mergeCell ref="C11:K11"/>
    <mergeCell ref="C23:K2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