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13 - S&amp;OP Planning Grid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<sst xmlns="http://schemas.openxmlformats.org/spreadsheetml/2006/main" count="328" uniqueCount="104">
  <si>
    <t xml:space="preserve">CASE 13: S&amp;OP PRODUCTION PLANNING — LEVEL, CHASE, HYBRID STRATEGIES</t>
  </si>
  <si>
    <t xml:space="preserve">Calculation Worksheet</t>
  </si>
  <si>
    <t xml:space="preserve">SCENARIO: Develop production plans using different strategies for a seasonal product.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</si>
  <si>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</si>
  <si>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</si>
  <si>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</si>
  <si>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Compare Level, Chase and Hybrid production plans and choose the cheapest.</t>
  </si>
  <si>
    <t xml:space="preserve">Self-check targets.</t>
  </si>
  <si>
    <t xml:space="preserve">Your task: Build all three plans, total their costs, and identify the optimal strategy.</t>
  </si>
  <si>
    <t xml:space="preserve">Production</t>
  </si>
  <si>
    <t xml:space="preserve">Compare total costs to determine the optimal approach.</t>
  </si>
  <si>
    <t xml:space="preserve">Approach: Level holds workforce and uses inventory; Chase matches demand and varies headcount; Hybrid adds overtime/subcontracting for peaks.</t>
  </si>
  <si>
    <t xml:space="preserve">Time: ~40 min   •   Fill the shaded input cells, then check the ANSWER KEY sheet only after you finish.</t>
  </si>
  <si>
    <t xml:space="preserve">DEMAND FORECAST (units) &amp; WORKING DAYS</t>
  </si>
  <si>
    <t xml:space="preserve">Given demand (blue) — do not change.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</si>
  <si>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</si>
  <si>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</si>
  <si>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</si>
  <si>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</si>
  <si>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</si>
  <si>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</si>
  <si>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</si>
  <si>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Total</t>
  </si>
  <si>
    <t xml:space="preserve">Forecast Demand</t>
  </si>
  <si>
    <t xml:space="preserve">Working Days</t>
  </si>
  <si>
    <t xml:space="preserve">Ending Inventory</t>
  </si>
  <si>
    <t xml:space="preserve">COST PARAMETERS</t>
  </si>
  <si>
    <t xml:space="preserve">Given values (blue) — do not change.</t>
  </si>
  <si>
    <t xml:space="preserve">Regular Time Cost</t>
  </si>
  <si>
    <t xml:space="preserve">$/unit</t>
  </si>
  <si>
    <t xml:space="preserve">Overtime Cost</t>
  </si>
  <si>
    <t xml:space="preserve">$/unit (150% of regular)</t>
  </si>
  <si>
    <t xml:space="preserve">Hiring Cost</t>
  </si>
  <si>
    <t xml:space="preserve">$/worker</t>
  </si>
  <si>
    <t xml:space="preserve">Layoff Cost</t>
  </si>
  <si>
    <t xml:space="preserve">Inventory Holding Cost</t>
  </si>
  <si>
    <t xml:space="preserve">$/unit/month</t>
  </si>
  <si>
    <t xml:space="preserve">Backorder/Stockout Cost</t>
  </si>
  <si>
    <t xml:space="preserve">Subcontracting Cost</t>
  </si>
  <si>
    <t xml:space="preserve">CAPACITY DATA</t>
  </si>
  <si>
    <t xml:space="preserve">Units per Worker per Day</t>
  </si>
  <si>
    <t xml:space="preserve">units</t>
  </si>
  <si>
    <t xml:space="preserve">Beginning Inventory</t>
  </si>
  <si>
    <t xml:space="preserve">Beginning Workforce</t>
  </si>
  <si>
    <t xml:space="preserve">workers</t>
  </si>
  <si>
    <t xml:space="preserve">Max Overtime</t>
  </si>
  <si>
    <t xml:space="preserve">of regular capacity</t>
  </si>
  <si>
    <t xml:space="preserve">═══════════════════════════════════════════════════════════════════════════</t>
  </si>
  <si>
    <t xml:space="preserve">STRATEGY 1: LEVEL PRODUCTION (Constant workforce, vary inventory)</t>
  </si>
  <si>
    <t xml:space="preserve">Total Demand</t>
  </si>
  <si>
    <t xml:space="preserve">Total Working Days</t>
  </si>
  <si>
    <t xml:space="preserve">days</t>
  </si>
  <si>
    <t xml:space="preserve">Required Daily Production</t>
  </si>
  <si>
    <t xml:space="preserve">units/day</t>
  </si>
  <si>
    <t xml:space="preserve">Workers Needed (constant)</t>
  </si>
  <si>
    <t xml:space="preserve">Production (units)</t>
  </si>
  <si>
    <t xml:space="preserve">Demand</t>
  </si>
  <si>
    <t xml:space="preserve">LEVEL STRATEGY COSTS:</t>
  </si>
  <si>
    <t xml:space="preserve">Workforce Change</t>
  </si>
  <si>
    <t xml:space="preserve">(hire or layoff)</t>
  </si>
  <si>
    <t xml:space="preserve">Production Cost</t>
  </si>
  <si>
    <t xml:space="preserve">Inventory Holding</t>
  </si>
  <si>
    <t xml:space="preserve">TOTAL LEVEL COST</t>
  </si>
  <si>
    <t xml:space="preserve">STRATEGY 2: CHASE PRODUCTION (Match production to demand, vary workforce)</t>
  </si>
  <si>
    <t xml:space="preserve">Units/Worker</t>
  </si>
  <si>
    <t xml:space="preserve">Workers Needed</t>
  </si>
  <si>
    <t xml:space="preserve">Workers Hired</t>
  </si>
  <si>
    <t xml:space="preserve">Workers Laid Off</t>
  </si>
  <si>
    <t xml:space="preserve">CHASE STRATEGY COSTS:</t>
  </si>
  <si>
    <t xml:space="preserve">TOTAL CHASE COST</t>
  </si>
  <si>
    <t xml:space="preserve">STRATEGY 3: HYBRID (Level base + Overtime/Subcontract for peaks)</t>
  </si>
  <si>
    <t xml:space="preserve">Base Workforce (level)</t>
  </si>
  <si>
    <t xml:space="preserve">Regular Production</t>
  </si>
  <si>
    <t xml:space="preserve">Shortfall</t>
  </si>
  <si>
    <t xml:space="preserve">Overtime (up to 20%)</t>
  </si>
  <si>
    <t xml:space="preserve">Subcontract</t>
  </si>
  <si>
    <t xml:space="preserve">HYBRID STRATEGY COSTS:</t>
  </si>
  <si>
    <t xml:space="preserve">Regular Production Cost</t>
  </si>
  <si>
    <t xml:space="preserve">TOTAL HYBRID COST</t>
  </si>
  <si>
    <t xml:space="preserve">STRATEGY COMPARISON</t>
  </si>
  <si>
    <t xml:space="preserve">Strategy</t>
  </si>
  <si>
    <t xml:space="preserve">Total Cost</t>
  </si>
  <si>
    <t xml:space="preserve">Pros</t>
  </si>
  <si>
    <t xml:space="preserve">Cons</t>
  </si>
  <si>
    <t xml:space="preserve">Level</t>
  </si>
  <si>
    <t xml:space="preserve">Stable workforce</t>
  </si>
  <si>
    <t xml:space="preserve">High inventory costs</t>
  </si>
  <si>
    <t xml:space="preserve">Chase</t>
  </si>
  <si>
    <t xml:space="preserve">Low inventory</t>
  </si>
  <si>
    <t xml:space="preserve">High hire/fire costs, morale issues</t>
  </si>
  <si>
    <t xml:space="preserve">Hybrid</t>
  </si>
  <si>
    <t xml:space="preserve">Balanced approach</t>
  </si>
  <si>
    <t xml:space="preserve">More complex to manage</t>
  </si>
  <si>
    <t xml:space="preserve">OPTIMAL STRATEGY:</t>
  </si>
  <si>
    <t xml:space="preserve">EXAM-STYLE QUESTIONS:</t>
  </si>
  <si>
    <t xml:space="preserve">Q1: In Level strategy, what is the constant daily production rate needed?</t>
  </si>
  <si>
    <t xml:space="preserve">Answer:</t>
  </si>
  <si>
    <t xml:space="preserve">Q2: In Chase strategy, how many workers are needed in April (peak month)?</t>
  </si>
  <si>
    <t xml:space="preserve">Q3: Calculate total hiring and layoff costs for Chase strategy.</t>
  </si>
  <si>
    <t xml:space="preserve">Q4: In Hybrid, how many units must be subcontracted in April?</t>
  </si>
  <si>
    <t xml:space="preserve">Q5: Which strategy has the lowest total cost? Why?</t>
  </si>
  <si>
    <t xml:space="preserve">Q6: If holding cost increases to $10/unit, which strategy becomes more attractive?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</si>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</sst>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23.85" hidden="false" customHeight="true" outlineLevel="0" collapsed="false">
      <c r="J7" s="4" t="s">
        <v>6</v>
      </c>
      <c r="K7" s="4"/>
      <c r="L7" s="4"/>
      <c r="M7" s="4"/>
      <c r="O7" s="5" t="s">
        <v>7</v>
      </c>
      <c r="P7" s="5"/>
      <c r="Q7" s="5"/>
    </row>
    <row r="8" customFormat="false" ht="23.85" hidden="false" customHeight="true" outlineLevel="0" collapsed="false">
      <c r="J8" s="4" t="s">
        <v>8</v>
      </c>
      <c r="K8" s="4"/>
      <c r="L8" s="4"/>
      <c r="M8" s="4"/>
      <c r="O8" s="6" t="s">
        <v>9</v>
      </c>
      <c r="P8" s="6"/>
      <c r="Q8" s="7" t="n">
        <v>1000</v>
      </c>
    </row>
    <row r="9" customFormat="false" ht="35.05" hidden="false" customHeight="true" outlineLevel="0" collapsed="false">
      <c r="A9" s="8" t="s">
        <v>10</v>
      </c>
      <c r="J9" s="4" t="s">
        <v>11</v>
      </c>
      <c r="K9" s="4"/>
      <c r="L9" s="4"/>
      <c r="M9" s="4"/>
      <c r="O9" s="6" t="s">
        <v>9</v>
      </c>
      <c r="P9" s="6"/>
      <c r="Q9" s="7" t="n">
        <v>1200</v>
      </c>
    </row>
    <row r="10" customFormat="false" ht="23.85" hidden="false" customHeight="true" outlineLevel="0" collapsed="false">
      <c r="J10" s="4" t="s">
        <v>12</v>
      </c>
      <c r="K10" s="4"/>
      <c r="L10" s="4"/>
      <c r="M10" s="4"/>
      <c r="O10" s="6" t="s">
        <v>9</v>
      </c>
      <c r="P10" s="6"/>
      <c r="Q10" s="7" t="n">
        <v>1500</v>
      </c>
    </row>
    <row r="11" customFormat="false" ht="15" hidden="false" customHeight="false" outlineLevel="0" collapsed="false">
      <c r="A11" s="9" t="s">
        <v>13</v>
      </c>
      <c r="C11" s="10" t="s">
        <v>14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O11" s="6" t="s">
        <v>9</v>
      </c>
      <c r="P11" s="6"/>
      <c r="Q11" s="7" t="n">
        <v>1800</v>
      </c>
    </row>
    <row r="12" customFormat="false" ht="15" hidden="false" customHeight="false" outlineLevel="0" collapsed="false">
      <c r="A12" s="9" t="s">
        <v>15</v>
      </c>
      <c r="B12" s="9" t="s">
        <v>16</v>
      </c>
      <c r="C12" s="9" t="s">
        <v>17</v>
      </c>
      <c r="D12" s="9" t="s">
        <v>18</v>
      </c>
      <c r="E12" s="9" t="s">
        <v>19</v>
      </c>
      <c r="F12" s="9" t="s">
        <v>20</v>
      </c>
      <c r="G12" s="9" t="s">
        <v>21</v>
      </c>
      <c r="H12" s="9" t="s">
        <v>22</v>
      </c>
      <c r="O12" s="6" t="s">
        <v>9</v>
      </c>
      <c r="P12" s="6"/>
      <c r="Q12" s="7" t="n">
        <v>1400</v>
      </c>
    </row>
    <row r="13" customFormat="false" ht="15" hidden="false" customHeight="false" outlineLevel="0" collapsed="false">
      <c r="A13" s="8" t="s">
        <v>23</v>
      </c>
      <c r="B13" s="8" t="n">
        <v>1000</v>
      </c>
      <c r="C13" s="8" t="n">
        <v>1200</v>
      </c>
      <c r="D13" s="8" t="n">
        <v>1500</v>
      </c>
      <c r="E13" s="8" t="n">
        <v>1800</v>
      </c>
      <c r="F13" s="8" t="n">
        <v>1400</v>
      </c>
      <c r="G13" s="8" t="n">
        <v>1100</v>
      </c>
      <c r="H13" s="11"/>
      <c r="O13" s="6" t="s">
        <v>9</v>
      </c>
      <c r="P13" s="6"/>
      <c r="Q13" s="7" t="n">
        <v>1100</v>
      </c>
    </row>
    <row r="14" customFormat="false" ht="15" hidden="false" customHeight="false" outlineLevel="0" collapsed="false">
      <c r="A14" s="8" t="s">
        <v>24</v>
      </c>
      <c r="B14" s="8" t="n">
        <v>22</v>
      </c>
      <c r="C14" s="8" t="n">
        <v>20</v>
      </c>
      <c r="D14" s="8" t="n">
        <v>23</v>
      </c>
      <c r="E14" s="8" t="n">
        <v>21</v>
      </c>
      <c r="F14" s="8" t="n">
        <v>22</v>
      </c>
      <c r="G14" s="8" t="n">
        <v>21</v>
      </c>
      <c r="H14" s="11"/>
      <c r="O14" s="6" t="s">
        <v>9</v>
      </c>
      <c r="P14" s="6"/>
      <c r="Q14" s="7" t="n">
        <v>4</v>
      </c>
    </row>
    <row r="15" customFormat="false" ht="15" hidden="false" customHeight="false" outlineLevel="0" collapsed="false">
      <c r="O15" s="6" t="s">
        <v>25</v>
      </c>
      <c r="P15" s="6"/>
      <c r="Q15" s="7" t="n">
        <v>520</v>
      </c>
    </row>
    <row r="16" customFormat="false" ht="15" hidden="false" customHeight="false" outlineLevel="0" collapsed="false">
      <c r="A16" s="9" t="s">
        <v>26</v>
      </c>
      <c r="C16" s="10" t="s">
        <v>27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O16" s="6" t="s">
        <v>25</v>
      </c>
      <c r="P16" s="6"/>
      <c r="Q16" s="7" t="n">
        <v>680</v>
      </c>
    </row>
    <row r="17" customFormat="false" ht="15" hidden="false" customHeight="false" outlineLevel="0" collapsed="false">
      <c r="A17" s="8" t="s">
        <v>28</v>
      </c>
      <c r="C17" s="8" t="n">
        <v>50</v>
      </c>
      <c r="D17" s="8" t="s">
        <v>29</v>
      </c>
    </row>
    <row r="18" customFormat="false" ht="15" hidden="false" customHeight="false" outlineLevel="0" collapsed="false">
      <c r="A18" s="8" t="s">
        <v>30</v>
      </c>
      <c r="C18" s="8" t="n">
        <v>75</v>
      </c>
      <c r="D18" s="8" t="s">
        <v>31</v>
      </c>
    </row>
    <row r="19" customFormat="false" ht="15" hidden="false" customHeight="false" outlineLevel="0" collapsed="false">
      <c r="A19" s="8" t="s">
        <v>32</v>
      </c>
      <c r="C19" s="8" t="n">
        <v>800</v>
      </c>
      <c r="D19" s="8" t="s">
        <v>33</v>
      </c>
    </row>
    <row r="20" customFormat="false" ht="15" hidden="false" customHeight="false" outlineLevel="0" collapsed="false">
      <c r="A20" s="8" t="s">
        <v>34</v>
      </c>
      <c r="C20" s="8" t="n">
        <v>1200</v>
      </c>
      <c r="D20" s="8" t="s">
        <v>33</v>
      </c>
    </row>
    <row r="21" customFormat="false" ht="15" hidden="false" customHeight="false" outlineLevel="0" collapsed="false">
      <c r="A21" s="8" t="s">
        <v>35</v>
      </c>
      <c r="C21" s="8" t="n">
        <v>5</v>
      </c>
      <c r="D21" s="8" t="s">
        <v>36</v>
      </c>
    </row>
    <row r="22" customFormat="false" ht="15" hidden="false" customHeight="false" outlineLevel="0" collapsed="false">
      <c r="A22" s="8" t="s">
        <v>37</v>
      </c>
      <c r="C22" s="8" t="n">
        <v>20</v>
      </c>
      <c r="D22" s="8" t="s">
        <v>36</v>
      </c>
    </row>
    <row r="23" customFormat="false" ht="15" hidden="false" customHeight="false" outlineLevel="0" collapsed="false">
      <c r="A23" s="8" t="s">
        <v>38</v>
      </c>
      <c r="C23" s="8" t="n">
        <v>70</v>
      </c>
      <c r="D23" s="8" t="s">
        <v>29</v>
      </c>
    </row>
    <row r="25" customFormat="false" ht="15" hidden="false" customHeight="false" outlineLevel="0" collapsed="false">
      <c r="A25" s="9" t="s">
        <v>39</v>
      </c>
      <c r="C25" s="10" t="s">
        <v>27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customFormat="false" ht="15" hidden="false" customHeight="false" outlineLevel="0" collapsed="false">
      <c r="A26" s="8" t="s">
        <v>40</v>
      </c>
      <c r="C26" s="8" t="n">
        <v>10</v>
      </c>
      <c r="D26" s="8" t="s">
        <v>41</v>
      </c>
    </row>
    <row r="27" customFormat="false" ht="15" hidden="false" customHeight="false" outlineLevel="0" collapsed="false">
      <c r="A27" s="8" t="s">
        <v>42</v>
      </c>
      <c r="C27" s="8" t="n">
        <v>200</v>
      </c>
      <c r="D27" s="8" t="s">
        <v>41</v>
      </c>
    </row>
    <row r="28" customFormat="false" ht="15" hidden="false" customHeight="false" outlineLevel="0" collapsed="false">
      <c r="A28" s="8" t="s">
        <v>43</v>
      </c>
      <c r="C28" s="8" t="n">
        <v>8</v>
      </c>
      <c r="D28" s="8" t="s">
        <v>44</v>
      </c>
    </row>
    <row r="29" customFormat="false" ht="15" hidden="false" customHeight="false" outlineLevel="0" collapsed="false">
      <c r="A29" s="8" t="s">
        <v>45</v>
      </c>
      <c r="C29" s="12" t="n">
        <v>0.2</v>
      </c>
      <c r="D29" s="8" t="s">
        <v>46</v>
      </c>
    </row>
    <row r="32" customFormat="false" ht="15" hidden="false" customHeight="false" outlineLevel="0" collapsed="false">
      <c r="A32" s="9" t="s">
        <v>47</v>
      </c>
    </row>
    <row r="33" customFormat="false" ht="15" hidden="false" customHeight="false" outlineLevel="0" collapsed="false">
      <c r="A33" s="9" t="s">
        <v>48</v>
      </c>
    </row>
    <row r="34" customFormat="false" ht="15" hidden="false" customHeight="false" outlineLevel="0" collapsed="false">
      <c r="A34" s="9" t="s">
        <v>47</v>
      </c>
    </row>
    <row r="36" customFormat="false" ht="15" hidden="false" customHeight="false" outlineLevel="0" collapsed="false">
      <c r="A36" s="8" t="s">
        <v>49</v>
      </c>
      <c r="B36" s="11"/>
      <c r="C36" s="8" t="s">
        <v>41</v>
      </c>
    </row>
    <row r="37" customFormat="false" ht="15" hidden="false" customHeight="false" outlineLevel="0" collapsed="false">
      <c r="A37" s="8" t="s">
        <v>50</v>
      </c>
      <c r="B37" s="11"/>
      <c r="C37" s="8" t="s">
        <v>51</v>
      </c>
    </row>
    <row r="38" customFormat="false" ht="15" hidden="false" customHeight="false" outlineLevel="0" collapsed="false">
      <c r="A38" s="8" t="s">
        <v>52</v>
      </c>
      <c r="B38" s="11"/>
      <c r="C38" s="8" t="s">
        <v>53</v>
      </c>
    </row>
    <row r="39" customFormat="false" ht="15" hidden="false" customHeight="false" outlineLevel="0" collapsed="false">
      <c r="A39" s="8" t="s">
        <v>54</v>
      </c>
      <c r="B39" s="11"/>
      <c r="C39" s="8" t="s">
        <v>44</v>
      </c>
    </row>
    <row r="41" customFormat="false" ht="15" hidden="false" customHeight="false" outlineLevel="0" collapsed="false">
      <c r="A41" s="8" t="s">
        <v>15</v>
      </c>
      <c r="B41" s="8" t="s">
        <v>16</v>
      </c>
      <c r="C41" s="8" t="s">
        <v>17</v>
      </c>
      <c r="D41" s="8" t="s">
        <v>18</v>
      </c>
      <c r="E41" s="8" t="s">
        <v>19</v>
      </c>
      <c r="F41" s="8" t="s">
        <v>20</v>
      </c>
      <c r="G41" s="8" t="s">
        <v>21</v>
      </c>
    </row>
    <row r="42" customFormat="false" ht="15" hidden="false" customHeight="false" outlineLevel="0" collapsed="false">
      <c r="A42" s="8" t="s">
        <v>55</v>
      </c>
      <c r="B42" s="11"/>
      <c r="C42" s="11"/>
      <c r="D42" s="11"/>
      <c r="E42" s="11"/>
      <c r="F42" s="11"/>
      <c r="G42" s="11"/>
    </row>
    <row r="43" customFormat="false" ht="15" hidden="false" customHeight="false" outlineLevel="0" collapsed="false">
      <c r="A43" s="8" t="s">
        <v>56</v>
      </c>
      <c r="B43" s="11"/>
      <c r="C43" s="11"/>
      <c r="D43" s="11"/>
      <c r="E43" s="11"/>
      <c r="F43" s="11"/>
      <c r="G43" s="11"/>
    </row>
    <row r="44" customFormat="false" ht="15" hidden="false" customHeight="false" outlineLevel="0" collapsed="false">
      <c r="A44" s="8" t="s">
        <v>25</v>
      </c>
      <c r="B44" s="11"/>
      <c r="C44" s="11"/>
      <c r="D44" s="11"/>
      <c r="E44" s="11"/>
      <c r="F44" s="11"/>
      <c r="G44" s="11"/>
    </row>
    <row r="46" customFormat="false" ht="15" hidden="false" customHeight="false" outlineLevel="0" collapsed="false">
      <c r="A46" s="8" t="s">
        <v>57</v>
      </c>
    </row>
    <row r="47" customFormat="false" ht="15" hidden="false" customHeight="false" outlineLevel="0" collapsed="false">
      <c r="A47" s="8" t="s">
        <v>58</v>
      </c>
      <c r="B47" s="11"/>
      <c r="D47" s="8" t="s">
        <v>59</v>
      </c>
    </row>
    <row r="48" customFormat="false" ht="15" hidden="false" customHeight="false" outlineLevel="0" collapsed="false">
      <c r="A48" s="8" t="s">
        <v>60</v>
      </c>
      <c r="B48" s="11"/>
    </row>
    <row r="49" customFormat="false" ht="15" hidden="false" customHeight="false" outlineLevel="0" collapsed="false">
      <c r="A49" s="8" t="s">
        <v>61</v>
      </c>
      <c r="B49" s="11"/>
    </row>
    <row r="50" customFormat="false" ht="15" hidden="false" customHeight="false" outlineLevel="0" collapsed="false">
      <c r="A50" s="8" t="s">
        <v>62</v>
      </c>
      <c r="B50" s="13"/>
    </row>
    <row r="53" customFormat="false" ht="15" hidden="false" customHeight="false" outlineLevel="0" collapsed="false">
      <c r="A53" s="9" t="s">
        <v>47</v>
      </c>
    </row>
    <row r="54" customFormat="false" ht="15" hidden="false" customHeight="false" outlineLevel="0" collapsed="false">
      <c r="A54" s="9" t="s">
        <v>63</v>
      </c>
    </row>
    <row r="55" customFormat="false" ht="15" hidden="false" customHeight="false" outlineLevel="0" collapsed="false">
      <c r="A55" s="9" t="s">
        <v>47</v>
      </c>
    </row>
    <row r="57" customFormat="false" ht="15" hidden="false" customHeight="false" outlineLevel="0" collapsed="false">
      <c r="A57" s="8" t="s">
        <v>15</v>
      </c>
      <c r="B57" s="8" t="s">
        <v>16</v>
      </c>
      <c r="C57" s="8" t="s">
        <v>17</v>
      </c>
      <c r="D57" s="8" t="s">
        <v>18</v>
      </c>
      <c r="E57" s="8" t="s">
        <v>19</v>
      </c>
      <c r="F57" s="8" t="s">
        <v>20</v>
      </c>
      <c r="G57" s="8" t="s">
        <v>21</v>
      </c>
      <c r="H57" s="8" t="s">
        <v>22</v>
      </c>
    </row>
    <row r="58" customFormat="false" ht="15" hidden="false" customHeight="false" outlineLevel="0" collapsed="false">
      <c r="A58" s="8" t="s">
        <v>56</v>
      </c>
      <c r="B58" s="11"/>
      <c r="C58" s="11"/>
      <c r="D58" s="11"/>
      <c r="E58" s="11"/>
      <c r="F58" s="11"/>
      <c r="G58" s="11"/>
      <c r="H58" s="11"/>
    </row>
    <row r="59" customFormat="false" ht="15" hidden="false" customHeight="false" outlineLevel="0" collapsed="false">
      <c r="A59" s="8" t="s">
        <v>24</v>
      </c>
      <c r="B59" s="11"/>
      <c r="C59" s="11"/>
      <c r="D59" s="11"/>
      <c r="E59" s="11"/>
      <c r="F59" s="11"/>
      <c r="G59" s="11"/>
      <c r="H59" s="11"/>
    </row>
    <row r="60" customFormat="false" ht="15" hidden="false" customHeight="false" outlineLevel="0" collapsed="false">
      <c r="A60" s="8" t="s">
        <v>64</v>
      </c>
      <c r="B60" s="11"/>
      <c r="C60" s="11"/>
      <c r="D60" s="11"/>
      <c r="E60" s="11"/>
      <c r="F60" s="11"/>
      <c r="G60" s="11"/>
    </row>
    <row r="61" customFormat="false" ht="15" hidden="false" customHeight="false" outlineLevel="0" collapsed="false">
      <c r="A61" s="8" t="s">
        <v>65</v>
      </c>
      <c r="B61" s="11"/>
      <c r="C61" s="11"/>
      <c r="D61" s="11"/>
      <c r="E61" s="11"/>
      <c r="F61" s="11"/>
      <c r="G61" s="11"/>
    </row>
    <row r="62" customFormat="false" ht="15" hidden="false" customHeight="false" outlineLevel="0" collapsed="false">
      <c r="A62" s="8" t="s">
        <v>66</v>
      </c>
      <c r="B62" s="11"/>
      <c r="C62" s="11"/>
      <c r="D62" s="11"/>
      <c r="E62" s="11"/>
      <c r="F62" s="11"/>
      <c r="G62" s="11"/>
      <c r="H62" s="11"/>
    </row>
    <row r="63" customFormat="false" ht="15" hidden="false" customHeight="false" outlineLevel="0" collapsed="false">
      <c r="A63" s="8" t="s">
        <v>67</v>
      </c>
      <c r="B63" s="11"/>
      <c r="C63" s="11"/>
      <c r="D63" s="11"/>
      <c r="E63" s="11"/>
      <c r="F63" s="11"/>
      <c r="G63" s="11"/>
      <c r="H63" s="11"/>
    </row>
    <row r="64" customFormat="false" ht="15" hidden="false" customHeight="false" outlineLevel="0" collapsed="false">
      <c r="A64" s="9" t="s">
        <v>9</v>
      </c>
      <c r="B64" s="14"/>
      <c r="C64" s="14"/>
      <c r="D64" s="14"/>
      <c r="E64" s="14"/>
      <c r="F64" s="14"/>
      <c r="G64" s="14"/>
      <c r="H64" s="14"/>
    </row>
    <row r="66" customFormat="false" ht="15" hidden="false" customHeight="false" outlineLevel="0" collapsed="false">
      <c r="A66" s="8" t="s">
        <v>68</v>
      </c>
    </row>
    <row r="67" customFormat="false" ht="15" hidden="false" customHeight="false" outlineLevel="0" collapsed="false">
      <c r="A67" s="8" t="s">
        <v>32</v>
      </c>
      <c r="B67" s="11"/>
    </row>
    <row r="68" customFormat="false" ht="15" hidden="false" customHeight="false" outlineLevel="0" collapsed="false">
      <c r="A68" s="8" t="s">
        <v>34</v>
      </c>
      <c r="B68" s="11"/>
    </row>
    <row r="69" customFormat="false" ht="15" hidden="false" customHeight="false" outlineLevel="0" collapsed="false">
      <c r="A69" s="8" t="s">
        <v>60</v>
      </c>
      <c r="B69" s="11"/>
    </row>
    <row r="70" customFormat="false" ht="15" hidden="false" customHeight="false" outlineLevel="0" collapsed="false">
      <c r="A70" s="8" t="s">
        <v>69</v>
      </c>
      <c r="B70" s="13"/>
    </row>
    <row r="73" customFormat="false" ht="15" hidden="false" customHeight="false" outlineLevel="0" collapsed="false">
      <c r="A73" s="9" t="s">
        <v>47</v>
      </c>
    </row>
    <row r="74" customFormat="false" ht="15" hidden="false" customHeight="false" outlineLevel="0" collapsed="false">
      <c r="A74" s="9" t="s">
        <v>70</v>
      </c>
    </row>
    <row r="75" customFormat="false" ht="15" hidden="false" customHeight="false" outlineLevel="0" collapsed="false">
      <c r="A75" s="8" t="s">
        <v>47</v>
      </c>
    </row>
    <row r="77" customFormat="false" ht="15" hidden="false" customHeight="false" outlineLevel="0" collapsed="false">
      <c r="A77" s="9" t="s">
        <v>71</v>
      </c>
      <c r="C77" s="9" t="n">
        <v>6</v>
      </c>
      <c r="D77" s="9" t="s">
        <v>44</v>
      </c>
    </row>
    <row r="79" customFormat="false" ht="15" hidden="false" customHeight="false" outlineLevel="0" collapsed="false">
      <c r="A79" s="8" t="s">
        <v>15</v>
      </c>
      <c r="B79" s="8" t="s">
        <v>16</v>
      </c>
      <c r="C79" s="8" t="s">
        <v>17</v>
      </c>
      <c r="D79" s="8" t="s">
        <v>18</v>
      </c>
      <c r="E79" s="8" t="s">
        <v>19</v>
      </c>
      <c r="F79" s="8" t="s">
        <v>20</v>
      </c>
      <c r="G79" s="8" t="s">
        <v>21</v>
      </c>
      <c r="H79" s="8" t="s">
        <v>22</v>
      </c>
    </row>
    <row r="80" customFormat="false" ht="15" hidden="false" customHeight="false" outlineLevel="0" collapsed="false">
      <c r="A80" s="8" t="s">
        <v>72</v>
      </c>
      <c r="B80" s="11"/>
      <c r="C80" s="11"/>
      <c r="D80" s="11"/>
      <c r="E80" s="11"/>
      <c r="F80" s="11"/>
      <c r="G80" s="11"/>
      <c r="H80" s="11"/>
    </row>
    <row r="81" customFormat="false" ht="15" hidden="false" customHeight="false" outlineLevel="0" collapsed="false">
      <c r="A81" s="8" t="s">
        <v>56</v>
      </c>
      <c r="B81" s="11"/>
      <c r="C81" s="11"/>
      <c r="D81" s="11"/>
      <c r="E81" s="11"/>
      <c r="F81" s="11"/>
      <c r="G81" s="11"/>
      <c r="H81" s="11"/>
    </row>
    <row r="82" customFormat="false" ht="15" hidden="false" customHeight="false" outlineLevel="0" collapsed="false">
      <c r="A82" s="8" t="s">
        <v>73</v>
      </c>
      <c r="B82" s="11"/>
      <c r="C82" s="11"/>
      <c r="D82" s="11"/>
      <c r="E82" s="11"/>
      <c r="F82" s="11"/>
      <c r="G82" s="11"/>
      <c r="H82" s="11"/>
    </row>
    <row r="83" customFormat="false" ht="15" hidden="false" customHeight="false" outlineLevel="0" collapsed="false">
      <c r="A83" s="8" t="s">
        <v>74</v>
      </c>
      <c r="B83" s="11"/>
      <c r="C83" s="11"/>
      <c r="D83" s="11"/>
      <c r="E83" s="11"/>
      <c r="F83" s="11"/>
      <c r="G83" s="11"/>
      <c r="H83" s="11"/>
    </row>
    <row r="84" customFormat="false" ht="15" hidden="false" customHeight="false" outlineLevel="0" collapsed="false">
      <c r="A84" s="8" t="s">
        <v>75</v>
      </c>
      <c r="B84" s="11"/>
      <c r="C84" s="11"/>
      <c r="D84" s="11"/>
      <c r="E84" s="11"/>
      <c r="F84" s="11"/>
      <c r="G84" s="11"/>
      <c r="H84" s="11"/>
    </row>
    <row r="85" customFormat="false" ht="15" hidden="false" customHeight="false" outlineLevel="0" collapsed="false">
      <c r="A85" s="9" t="s">
        <v>25</v>
      </c>
      <c r="B85" s="14"/>
      <c r="C85" s="14"/>
      <c r="D85" s="14"/>
      <c r="E85" s="14"/>
      <c r="F85" s="14"/>
      <c r="G85" s="14"/>
    </row>
    <row r="87" customFormat="false" ht="15" hidden="false" customHeight="false" outlineLevel="0" collapsed="false">
      <c r="A87" s="8" t="s">
        <v>76</v>
      </c>
    </row>
    <row r="88" customFormat="false" ht="15" hidden="false" customHeight="false" outlineLevel="0" collapsed="false">
      <c r="A88" s="8" t="s">
        <v>77</v>
      </c>
      <c r="B88" s="11"/>
    </row>
    <row r="89" customFormat="false" ht="15" hidden="false" customHeight="false" outlineLevel="0" collapsed="false">
      <c r="A89" s="8" t="s">
        <v>30</v>
      </c>
      <c r="B89" s="11"/>
    </row>
    <row r="90" customFormat="false" ht="15" hidden="false" customHeight="false" outlineLevel="0" collapsed="false">
      <c r="A90" s="8" t="s">
        <v>38</v>
      </c>
      <c r="B90" s="11"/>
    </row>
    <row r="91" customFormat="false" ht="15" hidden="false" customHeight="false" outlineLevel="0" collapsed="false">
      <c r="A91" s="8" t="s">
        <v>58</v>
      </c>
      <c r="B91" s="11"/>
    </row>
    <row r="92" customFormat="false" ht="15" hidden="false" customHeight="false" outlineLevel="0" collapsed="false">
      <c r="A92" s="8" t="s">
        <v>78</v>
      </c>
      <c r="B92" s="13"/>
    </row>
    <row r="95" customFormat="false" ht="15" hidden="false" customHeight="false" outlineLevel="0" collapsed="false">
      <c r="A95" s="9" t="s">
        <v>47</v>
      </c>
    </row>
    <row r="96" customFormat="false" ht="15" hidden="false" customHeight="false" outlineLevel="0" collapsed="false">
      <c r="A96" s="9" t="s">
        <v>79</v>
      </c>
    </row>
    <row r="97" customFormat="false" ht="15" hidden="false" customHeight="false" outlineLevel="0" collapsed="false">
      <c r="A97" s="9" t="s">
        <v>47</v>
      </c>
    </row>
    <row r="99" customFormat="false" ht="15" hidden="false" customHeight="false" outlineLevel="0" collapsed="false">
      <c r="A99" s="8" t="s">
        <v>80</v>
      </c>
      <c r="B99" s="8" t="s">
        <v>81</v>
      </c>
      <c r="C99" s="8" t="s">
        <v>82</v>
      </c>
      <c r="D99" s="8" t="s">
        <v>83</v>
      </c>
    </row>
    <row r="100" customFormat="false" ht="15" hidden="false" customHeight="false" outlineLevel="0" collapsed="false">
      <c r="A100" s="8" t="s">
        <v>84</v>
      </c>
      <c r="B100" s="13"/>
      <c r="C100" s="8" t="s">
        <v>85</v>
      </c>
      <c r="D100" s="8" t="s">
        <v>86</v>
      </c>
    </row>
    <row r="101" customFormat="false" ht="15" hidden="false" customHeight="false" outlineLevel="0" collapsed="false">
      <c r="A101" s="8" t="s">
        <v>87</v>
      </c>
      <c r="B101" s="13"/>
      <c r="C101" s="8" t="s">
        <v>88</v>
      </c>
      <c r="D101" s="8" t="s">
        <v>89</v>
      </c>
    </row>
    <row r="102" customFormat="false" ht="15" hidden="false" customHeight="false" outlineLevel="0" collapsed="false">
      <c r="A102" s="8" t="s">
        <v>90</v>
      </c>
      <c r="B102" s="13"/>
      <c r="C102" s="8" t="s">
        <v>91</v>
      </c>
      <c r="D102" s="8" t="s">
        <v>92</v>
      </c>
    </row>
    <row r="104" customFormat="false" ht="15" hidden="false" customHeight="false" outlineLevel="0" collapsed="false">
      <c r="A104" s="8" t="s">
        <v>93</v>
      </c>
      <c r="B104" s="11"/>
    </row>
    <row r="107" customFormat="false" ht="15" hidden="false" customHeight="false" outlineLevel="0" collapsed="false">
      <c r="A107" s="8" t="s">
        <v>94</v>
      </c>
    </row>
    <row r="109" customFormat="false" ht="15" hidden="false" customHeight="false" outlineLevel="0" collapsed="false">
      <c r="A109" s="8" t="s">
        <v>95</v>
      </c>
      <c r="F109" s="8" t="s">
        <v>96</v>
      </c>
    </row>
    <row r="110" customFormat="false" ht="15" hidden="false" customHeight="false" outlineLevel="0" collapsed="false">
      <c r="A110" s="8" t="s">
        <v>97</v>
      </c>
      <c r="F110" s="8" t="s">
        <v>96</v>
      </c>
    </row>
    <row r="111" customFormat="false" ht="15" hidden="false" customHeight="false" outlineLevel="0" collapsed="false">
      <c r="A111" s="8" t="s">
        <v>98</v>
      </c>
      <c r="F111" s="8" t="s">
        <v>96</v>
      </c>
    </row>
    <row r="112" customFormat="false" ht="15" hidden="false" customHeight="false" outlineLevel="0" collapsed="false">
      <c r="A112" s="8" t="s">
        <v>99</v>
      </c>
      <c r="F112" s="8" t="s">
        <v>96</v>
      </c>
    </row>
    <row r="113" customFormat="false" ht="15" hidden="false" customHeight="false" outlineLevel="0" collapsed="false">
      <c r="A113" s="8" t="s">
        <v>100</v>
      </c>
      <c r="F113" s="8" t="s">
        <v>96</v>
      </c>
    </row>
    <row r="114" customFormat="false" ht="15" hidden="false" customHeight="false" outlineLevel="0" collapsed="false">
      <c r="A114" s="8" t="s">
        <v>101</v>
      </c>
      <c r="F114" s="8" t="s">
        <v>96</v>
      </c>
    </row>
  </sheetData>
  <mergeCells count="23">
    <mergeCell ref="A1:M1"/>
    <mergeCell ref="A2:M2"/>
    <mergeCell ref="A3:M3"/>
    <mergeCell ref="A4:M4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C11:M11"/>
    <mergeCell ref="O11:P11"/>
    <mergeCell ref="O12:P12"/>
    <mergeCell ref="O13:P13"/>
    <mergeCell ref="O14:P14"/>
    <mergeCell ref="O15:P15"/>
    <mergeCell ref="C16:M16"/>
    <mergeCell ref="O16:P16"/>
    <mergeCell ref="C25:M25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102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103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23.85" hidden="false" customHeight="true" outlineLevel="0" collapsed="false">
      <c r="J7" s="4" t="s">
        <v>6</v>
      </c>
      <c r="K7" s="4"/>
      <c r="L7" s="4"/>
      <c r="M7" s="4"/>
      <c r="O7" s="5" t="s">
        <v>7</v>
      </c>
      <c r="P7" s="5"/>
      <c r="Q7" s="5"/>
    </row>
    <row r="8" customFormat="false" ht="23.85" hidden="false" customHeight="true" outlineLevel="0" collapsed="false">
      <c r="J8" s="4" t="s">
        <v>8</v>
      </c>
      <c r="K8" s="4"/>
      <c r="L8" s="4"/>
      <c r="M8" s="4"/>
      <c r="O8" s="6" t="s">
        <v>9</v>
      </c>
      <c r="P8" s="6"/>
      <c r="Q8" s="7" t="n">
        <v>1000</v>
      </c>
    </row>
    <row r="9" customFormat="false" ht="35.05" hidden="false" customHeight="true" outlineLevel="0" collapsed="false">
      <c r="A9" s="8" t="s">
        <v>10</v>
      </c>
      <c r="J9" s="4" t="s">
        <v>11</v>
      </c>
      <c r="K9" s="4"/>
      <c r="L9" s="4"/>
      <c r="M9" s="4"/>
      <c r="O9" s="6" t="s">
        <v>9</v>
      </c>
      <c r="P9" s="6"/>
      <c r="Q9" s="7" t="n">
        <v>1200</v>
      </c>
    </row>
    <row r="10" customFormat="false" ht="23.85" hidden="false" customHeight="true" outlineLevel="0" collapsed="false">
      <c r="J10" s="4" t="s">
        <v>12</v>
      </c>
      <c r="K10" s="4"/>
      <c r="L10" s="4"/>
      <c r="M10" s="4"/>
      <c r="O10" s="6" t="s">
        <v>9</v>
      </c>
      <c r="P10" s="6"/>
      <c r="Q10" s="7" t="n">
        <v>1500</v>
      </c>
    </row>
    <row r="11" customFormat="false" ht="15" hidden="false" customHeight="false" outlineLevel="0" collapsed="false">
      <c r="A11" s="9" t="s">
        <v>13</v>
      </c>
      <c r="C11" s="10" t="s">
        <v>14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O11" s="6" t="s">
        <v>9</v>
      </c>
      <c r="P11" s="6"/>
      <c r="Q11" s="7" t="n">
        <v>1800</v>
      </c>
    </row>
    <row r="12" customFormat="false" ht="15" hidden="false" customHeight="false" outlineLevel="0" collapsed="false">
      <c r="A12" s="9" t="s">
        <v>15</v>
      </c>
      <c r="B12" s="9" t="s">
        <v>16</v>
      </c>
      <c r="C12" s="9" t="s">
        <v>17</v>
      </c>
      <c r="D12" s="9" t="s">
        <v>18</v>
      </c>
      <c r="E12" s="9" t="s">
        <v>19</v>
      </c>
      <c r="F12" s="9" t="s">
        <v>20</v>
      </c>
      <c r="G12" s="9" t="s">
        <v>21</v>
      </c>
      <c r="H12" s="9" t="s">
        <v>22</v>
      </c>
      <c r="O12" s="6" t="s">
        <v>9</v>
      </c>
      <c r="P12" s="6"/>
      <c r="Q12" s="7" t="n">
        <v>1400</v>
      </c>
    </row>
    <row r="13" customFormat="false" ht="15" hidden="false" customHeight="false" outlineLevel="0" collapsed="false">
      <c r="A13" s="8" t="s">
        <v>23</v>
      </c>
      <c r="B13" s="8" t="n">
        <v>1000</v>
      </c>
      <c r="C13" s="8" t="n">
        <v>1200</v>
      </c>
      <c r="D13" s="8" t="n">
        <v>1500</v>
      </c>
      <c r="E13" s="8" t="n">
        <v>1800</v>
      </c>
      <c r="F13" s="8" t="n">
        <v>1400</v>
      </c>
      <c r="G13" s="8" t="n">
        <v>1100</v>
      </c>
      <c r="H13" s="11" t="n">
        <f aca="false">SUM(B13:G13)</f>
        <v>8000</v>
      </c>
      <c r="O13" s="6" t="s">
        <v>9</v>
      </c>
      <c r="P13" s="6"/>
      <c r="Q13" s="7" t="n">
        <v>1100</v>
      </c>
    </row>
    <row r="14" customFormat="false" ht="15" hidden="false" customHeight="false" outlineLevel="0" collapsed="false">
      <c r="A14" s="8" t="s">
        <v>24</v>
      </c>
      <c r="B14" s="8" t="n">
        <v>22</v>
      </c>
      <c r="C14" s="8" t="n">
        <v>20</v>
      </c>
      <c r="D14" s="8" t="n">
        <v>23</v>
      </c>
      <c r="E14" s="8" t="n">
        <v>21</v>
      </c>
      <c r="F14" s="8" t="n">
        <v>22</v>
      </c>
      <c r="G14" s="8" t="n">
        <v>21</v>
      </c>
      <c r="H14" s="11" t="n">
        <f aca="false">SUM(B14:G14)</f>
        <v>129</v>
      </c>
      <c r="O14" s="6" t="s">
        <v>9</v>
      </c>
      <c r="P14" s="6"/>
      <c r="Q14" s="7" t="n">
        <v>4</v>
      </c>
    </row>
    <row r="15" customFormat="false" ht="15" hidden="false" customHeight="false" outlineLevel="0" collapsed="false">
      <c r="O15" s="6" t="s">
        <v>25</v>
      </c>
      <c r="P15" s="6"/>
      <c r="Q15" s="7" t="n">
        <v>520</v>
      </c>
    </row>
    <row r="16" customFormat="false" ht="15" hidden="false" customHeight="false" outlineLevel="0" collapsed="false">
      <c r="A16" s="9" t="s">
        <v>26</v>
      </c>
      <c r="C16" s="10" t="s">
        <v>27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O16" s="6" t="s">
        <v>25</v>
      </c>
      <c r="P16" s="6"/>
      <c r="Q16" s="7" t="n">
        <v>680</v>
      </c>
    </row>
    <row r="17" customFormat="false" ht="15" hidden="false" customHeight="false" outlineLevel="0" collapsed="false">
      <c r="A17" s="8" t="s">
        <v>28</v>
      </c>
      <c r="C17" s="8" t="n">
        <v>50</v>
      </c>
      <c r="D17" s="8" t="s">
        <v>29</v>
      </c>
    </row>
    <row r="18" customFormat="false" ht="15" hidden="false" customHeight="false" outlineLevel="0" collapsed="false">
      <c r="A18" s="8" t="s">
        <v>30</v>
      </c>
      <c r="C18" s="8" t="n">
        <v>75</v>
      </c>
      <c r="D18" s="8" t="s">
        <v>31</v>
      </c>
    </row>
    <row r="19" customFormat="false" ht="15" hidden="false" customHeight="false" outlineLevel="0" collapsed="false">
      <c r="A19" s="8" t="s">
        <v>32</v>
      </c>
      <c r="C19" s="8" t="n">
        <v>800</v>
      </c>
      <c r="D19" s="8" t="s">
        <v>33</v>
      </c>
    </row>
    <row r="20" customFormat="false" ht="15" hidden="false" customHeight="false" outlineLevel="0" collapsed="false">
      <c r="A20" s="8" t="s">
        <v>34</v>
      </c>
      <c r="C20" s="8" t="n">
        <v>1200</v>
      </c>
      <c r="D20" s="8" t="s">
        <v>33</v>
      </c>
    </row>
    <row r="21" customFormat="false" ht="15" hidden="false" customHeight="false" outlineLevel="0" collapsed="false">
      <c r="A21" s="8" t="s">
        <v>35</v>
      </c>
      <c r="C21" s="8" t="n">
        <v>5</v>
      </c>
      <c r="D21" s="8" t="s">
        <v>36</v>
      </c>
    </row>
    <row r="22" customFormat="false" ht="15" hidden="false" customHeight="false" outlineLevel="0" collapsed="false">
      <c r="A22" s="8" t="s">
        <v>37</v>
      </c>
      <c r="C22" s="8" t="n">
        <v>20</v>
      </c>
      <c r="D22" s="8" t="s">
        <v>36</v>
      </c>
    </row>
    <row r="23" customFormat="false" ht="15" hidden="false" customHeight="false" outlineLevel="0" collapsed="false">
      <c r="A23" s="8" t="s">
        <v>38</v>
      </c>
      <c r="C23" s="8" t="n">
        <v>70</v>
      </c>
      <c r="D23" s="8" t="s">
        <v>29</v>
      </c>
    </row>
    <row r="25" customFormat="false" ht="15" hidden="false" customHeight="false" outlineLevel="0" collapsed="false">
      <c r="A25" s="9" t="s">
        <v>39</v>
      </c>
      <c r="C25" s="10" t="s">
        <v>27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customFormat="false" ht="15" hidden="false" customHeight="false" outlineLevel="0" collapsed="false">
      <c r="A26" s="8" t="s">
        <v>40</v>
      </c>
      <c r="C26" s="8" t="n">
        <v>10</v>
      </c>
      <c r="D26" s="8" t="s">
        <v>41</v>
      </c>
    </row>
    <row r="27" customFormat="false" ht="15" hidden="false" customHeight="false" outlineLevel="0" collapsed="false">
      <c r="A27" s="8" t="s">
        <v>42</v>
      </c>
      <c r="C27" s="8" t="n">
        <v>200</v>
      </c>
      <c r="D27" s="8" t="s">
        <v>41</v>
      </c>
    </row>
    <row r="28" customFormat="false" ht="15" hidden="false" customHeight="false" outlineLevel="0" collapsed="false">
      <c r="A28" s="8" t="s">
        <v>43</v>
      </c>
      <c r="C28" s="8" t="n">
        <v>8</v>
      </c>
      <c r="D28" s="8" t="s">
        <v>44</v>
      </c>
    </row>
    <row r="29" customFormat="false" ht="15" hidden="false" customHeight="false" outlineLevel="0" collapsed="false">
      <c r="A29" s="8" t="s">
        <v>45</v>
      </c>
      <c r="C29" s="12" t="n">
        <v>0.2</v>
      </c>
      <c r="D29" s="8" t="s">
        <v>46</v>
      </c>
    </row>
    <row r="32" customFormat="false" ht="15" hidden="false" customHeight="false" outlineLevel="0" collapsed="false">
      <c r="A32" s="9" t="s">
        <v>47</v>
      </c>
    </row>
    <row r="33" customFormat="false" ht="15" hidden="false" customHeight="false" outlineLevel="0" collapsed="false">
      <c r="A33" s="9" t="s">
        <v>48</v>
      </c>
    </row>
    <row r="34" customFormat="false" ht="15" hidden="false" customHeight="false" outlineLevel="0" collapsed="false">
      <c r="A34" s="9" t="s">
        <v>47</v>
      </c>
    </row>
    <row r="36" customFormat="false" ht="15" hidden="false" customHeight="false" outlineLevel="0" collapsed="false">
      <c r="A36" s="8" t="s">
        <v>49</v>
      </c>
      <c r="B36" s="11" t="n">
        <f aca="false">SUM(B13:G13)</f>
        <v>8000</v>
      </c>
      <c r="C36" s="8" t="s">
        <v>41</v>
      </c>
    </row>
    <row r="37" customFormat="false" ht="15" hidden="false" customHeight="false" outlineLevel="0" collapsed="false">
      <c r="A37" s="8" t="s">
        <v>50</v>
      </c>
      <c r="B37" s="11" t="n">
        <f aca="false">SUM(B14:G14)</f>
        <v>129</v>
      </c>
      <c r="C37" s="8" t="s">
        <v>51</v>
      </c>
    </row>
    <row r="38" customFormat="false" ht="15" hidden="false" customHeight="false" outlineLevel="0" collapsed="false">
      <c r="A38" s="8" t="s">
        <v>52</v>
      </c>
      <c r="B38" s="11" t="n">
        <f aca="false">B36/B37</f>
        <v>62.015503875969</v>
      </c>
      <c r="C38" s="8" t="s">
        <v>53</v>
      </c>
    </row>
    <row r="39" customFormat="false" ht="15" hidden="false" customHeight="false" outlineLevel="0" collapsed="false">
      <c r="A39" s="8" t="s">
        <v>54</v>
      </c>
      <c r="B39" s="11" t="n">
        <f aca="false">ROUNDUP(B38/C26,0)</f>
        <v>7</v>
      </c>
      <c r="C39" s="8" t="s">
        <v>44</v>
      </c>
    </row>
    <row r="41" customFormat="false" ht="15" hidden="false" customHeight="false" outlineLevel="0" collapsed="false">
      <c r="A41" s="8" t="s">
        <v>15</v>
      </c>
      <c r="B41" s="8" t="s">
        <v>16</v>
      </c>
      <c r="C41" s="8" t="s">
        <v>17</v>
      </c>
      <c r="D41" s="8" t="s">
        <v>18</v>
      </c>
      <c r="E41" s="8" t="s">
        <v>19</v>
      </c>
      <c r="F41" s="8" t="s">
        <v>20</v>
      </c>
      <c r="G41" s="8" t="s">
        <v>21</v>
      </c>
    </row>
    <row r="42" customFormat="false" ht="15" hidden="false" customHeight="false" outlineLevel="0" collapsed="false">
      <c r="A42" s="8" t="s">
        <v>55</v>
      </c>
      <c r="B42" s="11" t="n">
        <f aca="false">$B$38*B14</f>
        <v>1364.34108527132</v>
      </c>
      <c r="C42" s="11" t="n">
        <f aca="false">$B$38*C14</f>
        <v>1240.31007751938</v>
      </c>
      <c r="D42" s="11" t="n">
        <f aca="false">$B$38*D14</f>
        <v>1426.35658914729</v>
      </c>
      <c r="E42" s="11" t="n">
        <f aca="false">$B$38*E14</f>
        <v>1302.32558139535</v>
      </c>
      <c r="F42" s="11" t="n">
        <f aca="false">$B$38*F14</f>
        <v>1364.34108527132</v>
      </c>
      <c r="G42" s="11" t="n">
        <f aca="false">$B$38*G14</f>
        <v>1302.32558139535</v>
      </c>
    </row>
    <row r="43" customFormat="false" ht="15" hidden="false" customHeight="false" outlineLevel="0" collapsed="false">
      <c r="A43" s="8" t="s">
        <v>56</v>
      </c>
      <c r="B43" s="11" t="n">
        <f aca="false">B13</f>
        <v>1000</v>
      </c>
      <c r="C43" s="11" t="n">
        <f aca="false">C13</f>
        <v>1200</v>
      </c>
      <c r="D43" s="11" t="n">
        <f aca="false">D13</f>
        <v>1500</v>
      </c>
      <c r="E43" s="11" t="n">
        <f aca="false">E13</f>
        <v>1800</v>
      </c>
      <c r="F43" s="11" t="n">
        <f aca="false">F13</f>
        <v>1400</v>
      </c>
      <c r="G43" s="11" t="n">
        <f aca="false">G13</f>
        <v>1100</v>
      </c>
    </row>
    <row r="44" customFormat="false" ht="15" hidden="false" customHeight="false" outlineLevel="0" collapsed="false">
      <c r="A44" s="8" t="s">
        <v>25</v>
      </c>
      <c r="B44" s="11" t="n">
        <f aca="false">C27+B42-B43</f>
        <v>564.341085271318</v>
      </c>
      <c r="C44" s="11" t="n">
        <f aca="false">B44+C42-C43</f>
        <v>604.651162790698</v>
      </c>
      <c r="D44" s="11" t="n">
        <f aca="false">C44+D42-D43</f>
        <v>531.007751937984</v>
      </c>
      <c r="E44" s="11" t="n">
        <f aca="false">D44+E42-E43</f>
        <v>33.333333333333</v>
      </c>
      <c r="F44" s="11" t="n">
        <f aca="false">E44+F42-F43</f>
        <v>-2.32558139534922</v>
      </c>
      <c r="G44" s="11" t="n">
        <f aca="false">F44+G42-G43</f>
        <v>200</v>
      </c>
    </row>
    <row r="46" customFormat="false" ht="15" hidden="false" customHeight="false" outlineLevel="0" collapsed="false">
      <c r="A46" s="8" t="s">
        <v>57</v>
      </c>
    </row>
    <row r="47" customFormat="false" ht="15" hidden="false" customHeight="false" outlineLevel="0" collapsed="false">
      <c r="A47" s="8" t="s">
        <v>58</v>
      </c>
      <c r="B47" s="11" t="n">
        <f aca="false">IF(B39&gt;C28,(B39-C28)*C19,(C28-B39)*C20)</f>
        <v>1200</v>
      </c>
      <c r="D47" s="8" t="s">
        <v>59</v>
      </c>
    </row>
    <row r="48" customFormat="false" ht="15" hidden="false" customHeight="false" outlineLevel="0" collapsed="false">
      <c r="A48" s="8" t="s">
        <v>60</v>
      </c>
      <c r="B48" s="11" t="n">
        <f aca="false">SUM(B42:G42)*C17</f>
        <v>400000</v>
      </c>
    </row>
    <row r="49" customFormat="false" ht="15" hidden="false" customHeight="false" outlineLevel="0" collapsed="false">
      <c r="A49" s="8" t="s">
        <v>61</v>
      </c>
      <c r="B49" s="11" t="n">
        <f aca="false">SUMPRODUCT((B44:G44&gt;0)*(B44:G44))*C21</f>
        <v>9666.66666666666</v>
      </c>
    </row>
    <row r="50" customFormat="false" ht="15" hidden="false" customHeight="false" outlineLevel="0" collapsed="false">
      <c r="A50" s="8" t="s">
        <v>62</v>
      </c>
      <c r="B50" s="13" t="n">
        <f aca="false">B47+B48+B49</f>
        <v>410866.666666667</v>
      </c>
    </row>
    <row r="53" customFormat="false" ht="15" hidden="false" customHeight="false" outlineLevel="0" collapsed="false">
      <c r="A53" s="9" t="s">
        <v>47</v>
      </c>
    </row>
    <row r="54" customFormat="false" ht="15" hidden="false" customHeight="false" outlineLevel="0" collapsed="false">
      <c r="A54" s="9" t="s">
        <v>63</v>
      </c>
    </row>
    <row r="55" customFormat="false" ht="15" hidden="false" customHeight="false" outlineLevel="0" collapsed="false">
      <c r="A55" s="9" t="s">
        <v>47</v>
      </c>
    </row>
    <row r="57" customFormat="false" ht="15" hidden="false" customHeight="false" outlineLevel="0" collapsed="false">
      <c r="A57" s="8" t="s">
        <v>15</v>
      </c>
      <c r="B57" s="8" t="s">
        <v>16</v>
      </c>
      <c r="C57" s="8" t="s">
        <v>17</v>
      </c>
      <c r="D57" s="8" t="s">
        <v>18</v>
      </c>
      <c r="E57" s="8" t="s">
        <v>19</v>
      </c>
      <c r="F57" s="8" t="s">
        <v>20</v>
      </c>
      <c r="G57" s="8" t="s">
        <v>21</v>
      </c>
      <c r="H57" s="8" t="s">
        <v>22</v>
      </c>
    </row>
    <row r="58" customFormat="false" ht="15" hidden="false" customHeight="false" outlineLevel="0" collapsed="false">
      <c r="A58" s="8" t="s">
        <v>56</v>
      </c>
      <c r="B58" s="11" t="n">
        <f aca="false">B13</f>
        <v>1000</v>
      </c>
      <c r="C58" s="11" t="n">
        <f aca="false">C13</f>
        <v>1200</v>
      </c>
      <c r="D58" s="11" t="n">
        <f aca="false">D13</f>
        <v>1500</v>
      </c>
      <c r="E58" s="11" t="n">
        <f aca="false">E13</f>
        <v>1800</v>
      </c>
      <c r="F58" s="11" t="n">
        <f aca="false">F13</f>
        <v>1400</v>
      </c>
      <c r="G58" s="11" t="n">
        <f aca="false">G13</f>
        <v>1100</v>
      </c>
      <c r="H58" s="11" t="n">
        <f aca="false">H13</f>
        <v>8000</v>
      </c>
    </row>
    <row r="59" customFormat="false" ht="15" hidden="false" customHeight="false" outlineLevel="0" collapsed="false">
      <c r="A59" s="8" t="s">
        <v>24</v>
      </c>
      <c r="B59" s="11" t="n">
        <f aca="false">B14</f>
        <v>22</v>
      </c>
      <c r="C59" s="11" t="n">
        <f aca="false">C14</f>
        <v>20</v>
      </c>
      <c r="D59" s="11" t="n">
        <f aca="false">D14</f>
        <v>23</v>
      </c>
      <c r="E59" s="11" t="n">
        <f aca="false">E14</f>
        <v>21</v>
      </c>
      <c r="F59" s="11" t="n">
        <f aca="false">F14</f>
        <v>22</v>
      </c>
      <c r="G59" s="11" t="n">
        <f aca="false">G14</f>
        <v>21</v>
      </c>
      <c r="H59" s="11" t="n">
        <f aca="false">H14</f>
        <v>129</v>
      </c>
    </row>
    <row r="60" customFormat="false" ht="15" hidden="false" customHeight="false" outlineLevel="0" collapsed="false">
      <c r="A60" s="8" t="s">
        <v>64</v>
      </c>
      <c r="B60" s="11" t="n">
        <f aca="false">B59*$C$26</f>
        <v>220</v>
      </c>
      <c r="C60" s="11" t="n">
        <f aca="false">C59*$C$26</f>
        <v>200</v>
      </c>
      <c r="D60" s="11" t="n">
        <f aca="false">D59*$C$26</f>
        <v>230</v>
      </c>
      <c r="E60" s="11" t="n">
        <f aca="false">E59*$C$26</f>
        <v>210</v>
      </c>
      <c r="F60" s="11" t="n">
        <f aca="false">F59*$C$26</f>
        <v>220</v>
      </c>
      <c r="G60" s="11" t="n">
        <f aca="false">G59*$C$26</f>
        <v>210</v>
      </c>
    </row>
    <row r="61" customFormat="false" ht="15" hidden="false" customHeight="false" outlineLevel="0" collapsed="false">
      <c r="A61" s="8" t="s">
        <v>65</v>
      </c>
      <c r="B61" s="11" t="n">
        <f aca="false">ROUNDUP(B58/B60,0)</f>
        <v>5</v>
      </c>
      <c r="C61" s="11" t="n">
        <f aca="false">ROUNDUP(C58/C60,0)</f>
        <v>6</v>
      </c>
      <c r="D61" s="11" t="n">
        <f aca="false">ROUNDUP(D58/D60,0)</f>
        <v>7</v>
      </c>
      <c r="E61" s="11" t="n">
        <f aca="false">ROUNDUP(E58/E60,0)</f>
        <v>9</v>
      </c>
      <c r="F61" s="11" t="n">
        <f aca="false">ROUNDUP(F58/F60,0)</f>
        <v>7</v>
      </c>
      <c r="G61" s="11" t="n">
        <f aca="false">ROUNDUP(G58/G60,0)</f>
        <v>6</v>
      </c>
    </row>
    <row r="62" customFormat="false" ht="15" hidden="false" customHeight="false" outlineLevel="0" collapsed="false">
      <c r="A62" s="8" t="s">
        <v>66</v>
      </c>
      <c r="B62" s="11" t="n">
        <f aca="false">MAX(0,B61-C28)</f>
        <v>0</v>
      </c>
      <c r="C62" s="11" t="n">
        <f aca="false">MAX(0,C61-B61)</f>
        <v>1</v>
      </c>
      <c r="D62" s="11" t="n">
        <f aca="false">MAX(0,D61-C61)</f>
        <v>1</v>
      </c>
      <c r="E62" s="11" t="n">
        <f aca="false">MAX(0,E61-D61)</f>
        <v>2</v>
      </c>
      <c r="F62" s="11" t="n">
        <f aca="false">MAX(0,F61-E61)</f>
        <v>0</v>
      </c>
      <c r="G62" s="11" t="n">
        <f aca="false">MAX(0,G61-F61)</f>
        <v>0</v>
      </c>
      <c r="H62" s="11" t="n">
        <f aca="false">SUM(B60:G60)</f>
        <v>1290</v>
      </c>
    </row>
    <row r="63" customFormat="false" ht="15" hidden="false" customHeight="false" outlineLevel="0" collapsed="false">
      <c r="A63" s="8" t="s">
        <v>67</v>
      </c>
      <c r="B63" s="11" t="n">
        <f aca="false">MAX(0,C28-B61)</f>
        <v>3</v>
      </c>
      <c r="C63" s="11" t="n">
        <f aca="false">MAX(0,B61-C61)</f>
        <v>0</v>
      </c>
      <c r="D63" s="11" t="n">
        <f aca="false">MAX(0,C61-D61)</f>
        <v>0</v>
      </c>
      <c r="E63" s="11" t="n">
        <f aca="false">MAX(0,D61-E61)</f>
        <v>0</v>
      </c>
      <c r="F63" s="11" t="n">
        <f aca="false">MAX(0,E61-F61)</f>
        <v>2</v>
      </c>
      <c r="G63" s="11" t="n">
        <f aca="false">MAX(0,F61-G61)</f>
        <v>1</v>
      </c>
      <c r="H63" s="11" t="n">
        <f aca="false">SUM(B61:G61)</f>
        <v>40</v>
      </c>
    </row>
    <row r="64" customFormat="false" ht="15" hidden="false" customHeight="false" outlineLevel="0" collapsed="false">
      <c r="A64" s="9" t="s">
        <v>9</v>
      </c>
      <c r="B64" s="14" t="n">
        <f aca="false">B58</f>
        <v>1000</v>
      </c>
      <c r="C64" s="14" t="n">
        <f aca="false">C58</f>
        <v>1200</v>
      </c>
      <c r="D64" s="14" t="n">
        <f aca="false">D58</f>
        <v>1500</v>
      </c>
      <c r="E64" s="14" t="n">
        <f aca="false">E58</f>
        <v>1800</v>
      </c>
      <c r="F64" s="14" t="n">
        <f aca="false">F58</f>
        <v>1400</v>
      </c>
      <c r="G64" s="14" t="n">
        <f aca="false">G58</f>
        <v>1100</v>
      </c>
      <c r="H64" s="14" t="n">
        <f aca="false">SUM(B62:G62)</f>
        <v>4</v>
      </c>
    </row>
    <row r="66" customFormat="false" ht="15" hidden="false" customHeight="false" outlineLevel="0" collapsed="false">
      <c r="A66" s="8" t="s">
        <v>68</v>
      </c>
    </row>
    <row r="67" customFormat="false" ht="15" hidden="false" customHeight="false" outlineLevel="0" collapsed="false">
      <c r="A67" s="8" t="s">
        <v>32</v>
      </c>
      <c r="B67" s="11" t="n">
        <f aca="false">SUM(B62:G62)*C19</f>
        <v>3200</v>
      </c>
    </row>
    <row r="68" customFormat="false" ht="15" hidden="false" customHeight="false" outlineLevel="0" collapsed="false">
      <c r="A68" s="8" t="s">
        <v>34</v>
      </c>
      <c r="B68" s="11" t="n">
        <f aca="false">SUM(B63:G63)*C20</f>
        <v>7200</v>
      </c>
    </row>
    <row r="69" customFormat="false" ht="15" hidden="false" customHeight="false" outlineLevel="0" collapsed="false">
      <c r="A69" s="8" t="s">
        <v>60</v>
      </c>
      <c r="B69" s="11" t="n">
        <f aca="false">SUM(B64:G64)*C17</f>
        <v>400000</v>
      </c>
    </row>
    <row r="70" customFormat="false" ht="15" hidden="false" customHeight="false" outlineLevel="0" collapsed="false">
      <c r="A70" s="8" t="s">
        <v>69</v>
      </c>
      <c r="B70" s="13" t="n">
        <f aca="false">B67+B68+B69</f>
        <v>410400</v>
      </c>
    </row>
    <row r="73" customFormat="false" ht="15" hidden="false" customHeight="false" outlineLevel="0" collapsed="false">
      <c r="A73" s="9" t="s">
        <v>47</v>
      </c>
    </row>
    <row r="74" customFormat="false" ht="15" hidden="false" customHeight="false" outlineLevel="0" collapsed="false">
      <c r="A74" s="9" t="s">
        <v>70</v>
      </c>
    </row>
    <row r="75" customFormat="false" ht="15" hidden="false" customHeight="false" outlineLevel="0" collapsed="false">
      <c r="A75" s="8" t="s">
        <v>47</v>
      </c>
    </row>
    <row r="77" customFormat="false" ht="15" hidden="false" customHeight="false" outlineLevel="0" collapsed="false">
      <c r="A77" s="9" t="s">
        <v>71</v>
      </c>
      <c r="C77" s="9" t="n">
        <v>6</v>
      </c>
      <c r="D77" s="9" t="s">
        <v>44</v>
      </c>
    </row>
    <row r="79" customFormat="false" ht="15" hidden="false" customHeight="false" outlineLevel="0" collapsed="false">
      <c r="A79" s="8" t="s">
        <v>15</v>
      </c>
      <c r="B79" s="8" t="s">
        <v>16</v>
      </c>
      <c r="C79" s="8" t="s">
        <v>17</v>
      </c>
      <c r="D79" s="8" t="s">
        <v>18</v>
      </c>
      <c r="E79" s="8" t="s">
        <v>19</v>
      </c>
      <c r="F79" s="8" t="s">
        <v>20</v>
      </c>
      <c r="G79" s="8" t="s">
        <v>21</v>
      </c>
      <c r="H79" s="8" t="s">
        <v>22</v>
      </c>
    </row>
    <row r="80" customFormat="false" ht="15" hidden="false" customHeight="false" outlineLevel="0" collapsed="false">
      <c r="A80" s="8" t="s">
        <v>72</v>
      </c>
      <c r="B80" s="11" t="n">
        <f aca="false">B14*$C$77*$C$26</f>
        <v>1320</v>
      </c>
      <c r="C80" s="11" t="n">
        <f aca="false">C14*$C$77*$C$26</f>
        <v>1200</v>
      </c>
      <c r="D80" s="11" t="n">
        <f aca="false">D14*$C$77*$C$26</f>
        <v>1380</v>
      </c>
      <c r="E80" s="11" t="n">
        <f aca="false">E14*$C$77*$C$26</f>
        <v>1260</v>
      </c>
      <c r="F80" s="11" t="n">
        <f aca="false">F14*$C$77*$C$26</f>
        <v>1320</v>
      </c>
      <c r="G80" s="11" t="n">
        <f aca="false">G14*$C$77*$C$26</f>
        <v>1260</v>
      </c>
      <c r="H80" s="11" t="n">
        <f aca="false">SUM(B78:G78)</f>
        <v>0</v>
      </c>
    </row>
    <row r="81" customFormat="false" ht="15" hidden="false" customHeight="false" outlineLevel="0" collapsed="false">
      <c r="A81" s="8" t="s">
        <v>56</v>
      </c>
      <c r="B81" s="11" t="n">
        <f aca="false">B13</f>
        <v>1000</v>
      </c>
      <c r="C81" s="11" t="n">
        <f aca="false">C13</f>
        <v>1200</v>
      </c>
      <c r="D81" s="11" t="n">
        <f aca="false">D13</f>
        <v>1500</v>
      </c>
      <c r="E81" s="11" t="n">
        <f aca="false">E13</f>
        <v>1800</v>
      </c>
      <c r="F81" s="11" t="n">
        <f aca="false">F13</f>
        <v>1400</v>
      </c>
      <c r="G81" s="11" t="n">
        <f aca="false">G13</f>
        <v>1100</v>
      </c>
      <c r="H81" s="11" t="n">
        <f aca="false">SUM(B79:G79)</f>
        <v>0</v>
      </c>
    </row>
    <row r="82" customFormat="false" ht="15" hidden="false" customHeight="false" outlineLevel="0" collapsed="false">
      <c r="A82" s="8" t="s">
        <v>73</v>
      </c>
      <c r="B82" s="11" t="n">
        <f aca="false">MAX(0,B81-B80)</f>
        <v>0</v>
      </c>
      <c r="C82" s="11" t="n">
        <f aca="false">MAX(0,C81-C80)</f>
        <v>0</v>
      </c>
      <c r="D82" s="11" t="n">
        <f aca="false">MAX(0,D81-D80)</f>
        <v>120</v>
      </c>
      <c r="E82" s="11" t="n">
        <f aca="false">MAX(0,E81-E80)</f>
        <v>540</v>
      </c>
      <c r="F82" s="11" t="n">
        <f aca="false">MAX(0,F81-F80)</f>
        <v>80</v>
      </c>
      <c r="G82" s="11" t="n">
        <f aca="false">MAX(0,G81-G80)</f>
        <v>0</v>
      </c>
      <c r="H82" s="11" t="n">
        <f aca="false">SUM(B80:G80)</f>
        <v>7740</v>
      </c>
    </row>
    <row r="83" customFormat="false" ht="15" hidden="false" customHeight="false" outlineLevel="0" collapsed="false">
      <c r="A83" s="8" t="s">
        <v>74</v>
      </c>
      <c r="B83" s="11" t="n">
        <f aca="false">MIN(B82,B80*$C$29)</f>
        <v>0</v>
      </c>
      <c r="C83" s="11" t="n">
        <f aca="false">MIN(C82,C80*$C$29)</f>
        <v>0</v>
      </c>
      <c r="D83" s="11" t="n">
        <f aca="false">MIN(D82,D80*$C$29)</f>
        <v>120</v>
      </c>
      <c r="E83" s="11" t="n">
        <f aca="false">MIN(E82,E80*$C$29)</f>
        <v>252</v>
      </c>
      <c r="F83" s="11" t="n">
        <f aca="false">MIN(F82,F80*$C$29)</f>
        <v>80</v>
      </c>
      <c r="G83" s="11" t="n">
        <f aca="false">MIN(G82,G80*$C$29)</f>
        <v>0</v>
      </c>
      <c r="H83" s="11" t="n">
        <f aca="false">SUM(B81:G81)</f>
        <v>8000</v>
      </c>
    </row>
    <row r="84" customFormat="false" ht="15" hidden="false" customHeight="false" outlineLevel="0" collapsed="false">
      <c r="A84" s="8" t="s">
        <v>75</v>
      </c>
      <c r="B84" s="11" t="n">
        <f aca="false">MAX(0,B82-B83)</f>
        <v>0</v>
      </c>
      <c r="C84" s="11" t="n">
        <f aca="false">MAX(0,C82-C83)</f>
        <v>0</v>
      </c>
      <c r="D84" s="11" t="n">
        <f aca="false">MAX(0,D82-D83)</f>
        <v>0</v>
      </c>
      <c r="E84" s="11" t="n">
        <f aca="false">MAX(0,E82-E83)</f>
        <v>288</v>
      </c>
      <c r="F84" s="11" t="n">
        <f aca="false">MAX(0,F82-F83)</f>
        <v>0</v>
      </c>
      <c r="G84" s="11" t="n">
        <f aca="false">MAX(0,G82-G83)</f>
        <v>0</v>
      </c>
      <c r="H84" s="11" t="n">
        <f aca="false">SUM(B82:G82)</f>
        <v>740</v>
      </c>
    </row>
    <row r="85" customFormat="false" ht="15" hidden="false" customHeight="false" outlineLevel="0" collapsed="false">
      <c r="A85" s="9" t="s">
        <v>25</v>
      </c>
      <c r="B85" s="14" t="n">
        <f aca="false">C27+(B80+B83+B84)-B81</f>
        <v>520</v>
      </c>
      <c r="C85" s="14" t="n">
        <f aca="false">B85+(C80+C83+C84)-C81</f>
        <v>520</v>
      </c>
      <c r="D85" s="14" t="n">
        <f aca="false">C85+(D80+D83+D84)-D81</f>
        <v>520</v>
      </c>
      <c r="E85" s="14" t="n">
        <f aca="false">D85+(E80+E83+E84)-E81</f>
        <v>520</v>
      </c>
      <c r="F85" s="14" t="n">
        <f aca="false">E85+(F80+F83+F84)-F81</f>
        <v>520</v>
      </c>
      <c r="G85" s="14" t="n">
        <f aca="false">F85+(G80+G83+G84)-G81</f>
        <v>680</v>
      </c>
    </row>
    <row r="87" customFormat="false" ht="15" hidden="false" customHeight="false" outlineLevel="0" collapsed="false">
      <c r="A87" s="8" t="s">
        <v>76</v>
      </c>
    </row>
    <row r="88" customFormat="false" ht="15" hidden="false" customHeight="false" outlineLevel="0" collapsed="false">
      <c r="A88" s="8" t="s">
        <v>77</v>
      </c>
      <c r="B88" s="11" t="n">
        <f aca="false">SUM(B80:G80)*C17</f>
        <v>387000</v>
      </c>
    </row>
    <row r="89" customFormat="false" ht="15" hidden="false" customHeight="false" outlineLevel="0" collapsed="false">
      <c r="A89" s="8" t="s">
        <v>30</v>
      </c>
      <c r="B89" s="11" t="n">
        <f aca="false">SUM(B83:G83)*C18</f>
        <v>33900</v>
      </c>
    </row>
    <row r="90" customFormat="false" ht="15" hidden="false" customHeight="false" outlineLevel="0" collapsed="false">
      <c r="A90" s="8" t="s">
        <v>38</v>
      </c>
      <c r="B90" s="11" t="n">
        <f aca="false">SUM(B84:G84)*C23</f>
        <v>20160</v>
      </c>
    </row>
    <row r="91" customFormat="false" ht="15" hidden="false" customHeight="false" outlineLevel="0" collapsed="false">
      <c r="A91" s="8" t="s">
        <v>58</v>
      </c>
      <c r="B91" s="11" t="n">
        <f aca="false">IF(C77&gt;C28,(C77-C28)*C19,(C28-C77)*C20)</f>
        <v>2400</v>
      </c>
    </row>
    <row r="92" customFormat="false" ht="15" hidden="false" customHeight="false" outlineLevel="0" collapsed="false">
      <c r="A92" s="8" t="s">
        <v>78</v>
      </c>
      <c r="B92" s="13" t="n">
        <f aca="false">B88+B89+B90+B91</f>
        <v>443460</v>
      </c>
    </row>
    <row r="95" customFormat="false" ht="15" hidden="false" customHeight="false" outlineLevel="0" collapsed="false">
      <c r="A95" s="9" t="s">
        <v>47</v>
      </c>
    </row>
    <row r="96" customFormat="false" ht="15" hidden="false" customHeight="false" outlineLevel="0" collapsed="false">
      <c r="A96" s="9" t="s">
        <v>79</v>
      </c>
    </row>
    <row r="97" customFormat="false" ht="15" hidden="false" customHeight="false" outlineLevel="0" collapsed="false">
      <c r="A97" s="9" t="s">
        <v>47</v>
      </c>
    </row>
    <row r="99" customFormat="false" ht="15" hidden="false" customHeight="false" outlineLevel="0" collapsed="false">
      <c r="A99" s="8" t="s">
        <v>80</v>
      </c>
      <c r="B99" s="8" t="s">
        <v>81</v>
      </c>
      <c r="C99" s="8" t="s">
        <v>82</v>
      </c>
      <c r="D99" s="8" t="s">
        <v>83</v>
      </c>
    </row>
    <row r="100" customFormat="false" ht="15" hidden="false" customHeight="false" outlineLevel="0" collapsed="false">
      <c r="A100" s="8" t="s">
        <v>84</v>
      </c>
      <c r="B100" s="13" t="n">
        <f aca="false">B50</f>
        <v>410866.666666667</v>
      </c>
      <c r="C100" s="8" t="s">
        <v>85</v>
      </c>
      <c r="D100" s="8" t="s">
        <v>86</v>
      </c>
    </row>
    <row r="101" customFormat="false" ht="15" hidden="false" customHeight="false" outlineLevel="0" collapsed="false">
      <c r="A101" s="8" t="s">
        <v>87</v>
      </c>
      <c r="B101" s="13" t="n">
        <f aca="false">B70</f>
        <v>410400</v>
      </c>
      <c r="C101" s="8" t="s">
        <v>88</v>
      </c>
      <c r="D101" s="8" t="s">
        <v>89</v>
      </c>
    </row>
    <row r="102" customFormat="false" ht="15" hidden="false" customHeight="false" outlineLevel="0" collapsed="false">
      <c r="A102" s="8" t="s">
        <v>90</v>
      </c>
      <c r="B102" s="13" t="n">
        <f aca="false">B92</f>
        <v>443460</v>
      </c>
      <c r="C102" s="8" t="s">
        <v>91</v>
      </c>
      <c r="D102" s="8" t="s">
        <v>92</v>
      </c>
    </row>
    <row r="104" customFormat="false" ht="15" hidden="false" customHeight="false" outlineLevel="0" collapsed="false">
      <c r="A104" s="8" t="s">
        <v>93</v>
      </c>
      <c r="B104" s="11" t="str">
        <f aca="false">IF(AND(B100&lt;=B101,B100&lt;=B102),"LEVEL",IF(B101&lt;=B102,"CHASE","HYBRID"))</f>
        <v>CHASE</v>
      </c>
    </row>
    <row r="107" customFormat="false" ht="15" hidden="false" customHeight="false" outlineLevel="0" collapsed="false">
      <c r="A107" s="8" t="s">
        <v>94</v>
      </c>
    </row>
    <row r="109" customFormat="false" ht="15" hidden="false" customHeight="false" outlineLevel="0" collapsed="false">
      <c r="A109" s="8" t="s">
        <v>95</v>
      </c>
      <c r="F109" s="8" t="s">
        <v>96</v>
      </c>
    </row>
    <row r="110" customFormat="false" ht="15" hidden="false" customHeight="false" outlineLevel="0" collapsed="false">
      <c r="A110" s="8" t="s">
        <v>97</v>
      </c>
      <c r="F110" s="8" t="s">
        <v>96</v>
      </c>
    </row>
    <row r="111" customFormat="false" ht="15" hidden="false" customHeight="false" outlineLevel="0" collapsed="false">
      <c r="A111" s="8" t="s">
        <v>98</v>
      </c>
      <c r="F111" s="8" t="s">
        <v>96</v>
      </c>
    </row>
    <row r="112" customFormat="false" ht="15" hidden="false" customHeight="false" outlineLevel="0" collapsed="false">
      <c r="A112" s="8" t="s">
        <v>99</v>
      </c>
      <c r="F112" s="8" t="s">
        <v>96</v>
      </c>
    </row>
    <row r="113" customFormat="false" ht="15" hidden="false" customHeight="false" outlineLevel="0" collapsed="false">
      <c r="A113" s="8" t="s">
        <v>100</v>
      </c>
      <c r="F113" s="8" t="s">
        <v>96</v>
      </c>
    </row>
    <row r="114" customFormat="false" ht="15" hidden="false" customHeight="false" outlineLevel="0" collapsed="false">
      <c r="A114" s="8" t="s">
        <v>101</v>
      </c>
      <c r="F114" s="8" t="s">
        <v>96</v>
      </c>
    </row>
  </sheetData>
  <mergeCells count="23">
    <mergeCell ref="A1:M1"/>
    <mergeCell ref="A2:M2"/>
    <mergeCell ref="A3:M3"/>
    <mergeCell ref="A4:M4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C11:M11"/>
    <mergeCell ref="O11:P11"/>
    <mergeCell ref="O12:P12"/>
    <mergeCell ref="O13:P13"/>
    <mergeCell ref="O14:P14"/>
    <mergeCell ref="O15:P15"/>
    <mergeCell ref="C16:M16"/>
    <mergeCell ref="O16:P16"/>
    <mergeCell ref="C25:M25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