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4 - RCCP Load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<sst xmlns="http://schemas.openxmlformats.org/spreadsheetml/2006/main" count="264" uniqueCount="75">
  <si>
    <t xml:space="preserve">CASE 14: ROUGH-CUT CAPACITY PLANNING (RCCP) &amp; RESOURCE LOADING</t>
  </si>
  <si>
    <t xml:space="preserve">Calculation Worksheet</t>
  </si>
  <si>
    <t xml:space="preserve">SCENARIO: Validate that the Master Production Schedule can be executed with available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</si>
  <si>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</si>
  <si>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</si>
  <si>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</si>
  <si>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Validate the master production schedule against rough-cut capacity (CPIM focus).</t>
  </si>
  <si>
    <t xml:space="preserve">Self-check targets.</t>
  </si>
  <si>
    <t xml:space="preserve">Your task: Compute each work center demonstrated capacity and weekly load %, and flag overloads.</t>
  </si>
  <si>
    <t xml:space="preserve">Load %</t>
  </si>
  <si>
    <t xml:space="preserve">capacity. Identify resource constraints and recommend solutions.</t>
  </si>
  <si>
    <t xml:space="preserve">Approach: Load = sum(MPS qty x hrs/unit); demonstrated capacity = hours x machines x efficiency x utilization.</t>
  </si>
  <si>
    <t xml:space="preserve">Time: ~25 min   •   Fill the shaded input cells, then check the ANSWER KEY sheet only after you finish.</t>
  </si>
  <si>
    <t xml:space="preserve">MASTER PRODUCTION SCHEDULE (MPS) — Units</t>
  </si>
  <si>
    <t xml:space="preserve">Complete the green cells row by row.</t>
  </si>
  <si>
    <t xml:space="preserve">Product Family</t>
  </si>
  <si>
    <t xml:space="preserve">Week 1</t>
  </si>
  <si>
    <t xml:space="preserve">Week 2</t>
  </si>
  <si>
    <t xml:space="preserve">Week 3</t>
  </si>
  <si>
    <t xml:space="preserve">Week 4</t>
  </si>
  <si>
    <t xml:space="preserve">Total</t>
  </si>
  <si>
    <t xml:space="preserve">Product A</t>
  </si>
  <si>
    <t xml:space="preserve">Product B</t>
  </si>
  <si>
    <t xml:space="preserve">Product C</t>
  </si>
  <si>
    <t xml:space="preserve">BILL OF RESOURCES (Hours per Unit at Each Work Center)</t>
  </si>
  <si>
    <t xml:space="preserve">WC-100</t>
  </si>
  <si>
    <t xml:space="preserve">WC-200</t>
  </si>
  <si>
    <t xml:space="preserve">WC-300</t>
  </si>
  <si>
    <t xml:space="preserve">WC-400</t>
  </si>
  <si>
    <t xml:space="preserve">(Fabrication)</t>
  </si>
  <si>
    <t xml:space="preserve">(Assembly)</t>
  </si>
  <si>
    <t xml:space="preserve">(Paint)</t>
  </si>
  <si>
    <t xml:space="preserve">(Test)</t>
  </si>
  <si>
    <t xml:space="preserve">CAPACITY AVAILABLE (Hours per Week)</t>
  </si>
  <si>
    <t xml:space="preserve">Work Center</t>
  </si>
  <si>
    <t xml:space="preserve">Hours/Week</t>
  </si>
  <si>
    <t xml:space="preserve">Machines</t>
  </si>
  <si>
    <t xml:space="preserve">Efficiency</t>
  </si>
  <si>
    <t xml:space="preserve">Utilization</t>
  </si>
  <si>
    <t xml:space="preserve">Demonstrated Cap</t>
  </si>
  <si>
    <t xml:space="preserve">WC-100 (Fabrication)</t>
  </si>
  <si>
    <t xml:space="preserve">WC-200 (Assembly)</t>
  </si>
  <si>
    <t xml:space="preserve">WC-300 (Paint)</t>
  </si>
  <si>
    <t xml:space="preserve">WC-400 (Test)</t>
  </si>
  <si>
    <t xml:space="preserve">LOAD CALCULATION (Hours Required per Week)</t>
  </si>
  <si>
    <t xml:space="preserve">Formula: Load = Σ (MPS Quantity × Hours per Unit)</t>
  </si>
  <si>
    <t xml:space="preserve">Product A Load</t>
  </si>
  <si>
    <t xml:space="preserve">Product B Load</t>
  </si>
  <si>
    <t xml:space="preserve">Product C Load</t>
  </si>
  <si>
    <t xml:space="preserve">TOTAL WC-100 LOAD</t>
  </si>
  <si>
    <t xml:space="preserve">Capacity Available</t>
  </si>
  <si>
    <t xml:space="preserve">Over/(Under)</t>
  </si>
  <si>
    <t xml:space="preserve">TOTAL WC-200 LOAD</t>
  </si>
  <si>
    <t xml:space="preserve">TOTAL WC-300 LOAD</t>
  </si>
  <si>
    <t xml:space="preserve">TOTAL WC-400 LOAD</t>
  </si>
  <si>
    <t xml:space="preserve">CAPACITY CONSTRAINT SUMMARY</t>
  </si>
  <si>
    <t xml:space="preserve">Test each option; fill green and decide feasibility.</t>
  </si>
  <si>
    <t xml:space="preserve">Action Needed</t>
  </si>
  <si>
    <t xml:space="preserve">RESOLUTION OPTIONS FOR OVERLOADED WORK CENTERS:</t>
  </si>
  <si>
    <t xml:space="preserve">1. Overtime — Increase available hours (typically up to 20% premium cost)</t>
  </si>
  <si>
    <t xml:space="preserve">2. Subcontract — Outsource excess production</t>
  </si>
  <si>
    <t xml:space="preserve">3. Shift MPS — Move production to earlier/later weeks with slack</t>
  </si>
  <si>
    <t xml:space="preserve">4. Add capacity — Additional shifts, equipment, or workers</t>
  </si>
  <si>
    <t xml:space="preserve">5. Reduce MPS — Negotiate lower quantities with customers</t>
  </si>
  <si>
    <t xml:space="preserve">EXAM-STYLE QUESTIONS:</t>
  </si>
  <si>
    <t xml:space="preserve">Answer using the results you computed above.</t>
  </si>
  <si>
    <t xml:space="preserve">Q1: What is the total load on WC-200 (Assembly) in Week 3?</t>
  </si>
  <si>
    <t xml:space="preserve">Answer:</t>
  </si>
  <si>
    <t xml:space="preserve">Q2: Which work center is the bottleneck? In which week(s)?</t>
  </si>
  <si>
    <t xml:space="preserve">Q3: What is the demonstrated capacity of WC-100? How is it calculated?</t>
  </si>
  <si>
    <t xml:space="preserve">Q4: If WC-300 adds 10 overtime hours in Week 3, is that sufficient?</t>
  </si>
  <si>
    <t xml:space="preserve">Q5: What is the Load % for WC-400 in Week 4?</t>
  </si>
  <si>
    <t xml:space="preserve">Q6: If Product B MPS is shifted 50 units from Week 4 to Week 1, how does this affect WC-200 balance?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</si>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</sst>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8" min="8" style="0" width="20"/>
    <col collapsed="false" customWidth="true" hidden="false" outlineLevel="0" max="13" min="13" style="0" width="2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H6" s="1" t="s">
        <v>4</v>
      </c>
      <c r="I6" s="1"/>
      <c r="J6" s="1"/>
      <c r="K6" s="1"/>
      <c r="M6" s="1" t="s">
        <v>5</v>
      </c>
      <c r="N6" s="1"/>
      <c r="O6" s="1"/>
    </row>
    <row r="7" customFormat="false" ht="23.85" hidden="false" customHeight="true" outlineLevel="0" collapsed="false">
      <c r="H7" s="4" t="s">
        <v>6</v>
      </c>
      <c r="I7" s="4"/>
      <c r="J7" s="4"/>
      <c r="K7" s="4"/>
      <c r="M7" s="5" t="s">
        <v>7</v>
      </c>
      <c r="N7" s="5"/>
      <c r="O7" s="5"/>
    </row>
    <row r="8" customFormat="false" ht="23.85" hidden="false" customHeight="true" outlineLevel="0" collapsed="false">
      <c r="H8" s="4" t="s">
        <v>8</v>
      </c>
      <c r="I8" s="4"/>
      <c r="J8" s="4"/>
      <c r="K8" s="4"/>
      <c r="M8" s="6" t="s">
        <v>9</v>
      </c>
      <c r="N8" s="6"/>
      <c r="O8" s="7" t="n">
        <v>3.2895</v>
      </c>
    </row>
    <row r="9" customFormat="false" ht="35.05" hidden="false" customHeight="true" outlineLevel="0" collapsed="false">
      <c r="A9" s="8" t="s">
        <v>10</v>
      </c>
      <c r="H9" s="4" t="s">
        <v>11</v>
      </c>
      <c r="I9" s="4"/>
      <c r="J9" s="4"/>
      <c r="K9" s="4"/>
      <c r="M9" s="6" t="s">
        <v>9</v>
      </c>
      <c r="N9" s="6"/>
      <c r="O9" s="7" t="n">
        <v>4</v>
      </c>
    </row>
    <row r="10" customFormat="false" ht="23.85" hidden="false" customHeight="true" outlineLevel="0" collapsed="false">
      <c r="H10" s="4" t="s">
        <v>12</v>
      </c>
      <c r="I10" s="4"/>
      <c r="J10" s="4"/>
      <c r="K10" s="4"/>
      <c r="M10" s="6" t="s">
        <v>9</v>
      </c>
      <c r="N10" s="6"/>
      <c r="O10" s="7" t="n">
        <v>4.7368</v>
      </c>
    </row>
    <row r="11" customFormat="false" ht="15" hidden="false" customHeight="false" outlineLevel="0" collapsed="false">
      <c r="A11" s="9" t="s">
        <v>13</v>
      </c>
      <c r="C11" s="10" t="s">
        <v>14</v>
      </c>
      <c r="D11" s="10"/>
      <c r="E11" s="10"/>
      <c r="F11" s="10"/>
      <c r="G11" s="10"/>
      <c r="H11" s="10"/>
      <c r="I11" s="10"/>
      <c r="J11" s="10"/>
      <c r="K11" s="10"/>
      <c r="M11" s="6" t="s">
        <v>9</v>
      </c>
      <c r="N11" s="6"/>
      <c r="O11" s="7" t="n">
        <v>4.5789</v>
      </c>
    </row>
    <row r="12" customFormat="false" ht="15" hidden="false" customHeight="false" outlineLevel="0" collapsed="false">
      <c r="A12" s="9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9" t="s">
        <v>20</v>
      </c>
    </row>
    <row r="13" customFormat="false" ht="15" hidden="false" customHeight="false" outlineLevel="0" collapsed="false">
      <c r="A13" s="8" t="s">
        <v>21</v>
      </c>
      <c r="B13" s="8" t="n">
        <v>200</v>
      </c>
      <c r="C13" s="8" t="n">
        <v>250</v>
      </c>
      <c r="D13" s="8" t="n">
        <v>300</v>
      </c>
      <c r="E13" s="8" t="n">
        <v>280</v>
      </c>
      <c r="F13" s="11"/>
    </row>
    <row r="14" customFormat="false" ht="15" hidden="false" customHeight="false" outlineLevel="0" collapsed="false">
      <c r="A14" s="8" t="s">
        <v>22</v>
      </c>
      <c r="B14" s="8" t="n">
        <v>150</v>
      </c>
      <c r="C14" s="8" t="n">
        <v>180</v>
      </c>
      <c r="D14" s="8" t="n">
        <v>200</v>
      </c>
      <c r="E14" s="8" t="n">
        <v>220</v>
      </c>
      <c r="F14" s="11"/>
    </row>
    <row r="15" customFormat="false" ht="15" hidden="false" customHeight="false" outlineLevel="0" collapsed="false">
      <c r="A15" s="8" t="s">
        <v>23</v>
      </c>
      <c r="B15" s="8" t="n">
        <v>100</v>
      </c>
      <c r="C15" s="8" t="n">
        <v>120</v>
      </c>
      <c r="D15" s="8" t="n">
        <v>150</v>
      </c>
      <c r="E15" s="8" t="n">
        <v>130</v>
      </c>
      <c r="F15" s="11"/>
    </row>
    <row r="18" customFormat="false" ht="15" hidden="false" customHeight="false" outlineLevel="0" collapsed="false">
      <c r="A18" s="9" t="s">
        <v>24</v>
      </c>
    </row>
    <row r="19" customFormat="false" ht="15" hidden="false" customHeight="false" outlineLevel="0" collapsed="false">
      <c r="B19" s="9" t="s">
        <v>25</v>
      </c>
      <c r="C19" s="9" t="s">
        <v>26</v>
      </c>
      <c r="D19" s="9" t="s">
        <v>27</v>
      </c>
      <c r="E19" s="9" t="s">
        <v>28</v>
      </c>
    </row>
    <row r="20" customFormat="false" ht="15" hidden="false" customHeight="false" outlineLevel="0" collapsed="false">
      <c r="B20" s="8" t="s">
        <v>29</v>
      </c>
      <c r="C20" s="8" t="s">
        <v>30</v>
      </c>
      <c r="D20" s="8" t="s">
        <v>31</v>
      </c>
      <c r="E20" s="8" t="s">
        <v>32</v>
      </c>
    </row>
    <row r="21" customFormat="false" ht="15" hidden="false" customHeight="false" outlineLevel="0" collapsed="false">
      <c r="A21" s="8" t="s">
        <v>21</v>
      </c>
      <c r="B21" s="8" t="n">
        <v>0.5</v>
      </c>
      <c r="C21" s="8" t="n">
        <v>0.8</v>
      </c>
      <c r="D21" s="8" t="n">
        <v>0.3</v>
      </c>
      <c r="E21" s="8" t="n">
        <v>0.2</v>
      </c>
    </row>
    <row r="22" customFormat="false" ht="15" hidden="false" customHeight="false" outlineLevel="0" collapsed="false">
      <c r="A22" s="8" t="s">
        <v>22</v>
      </c>
      <c r="B22" s="8" t="n">
        <v>0.7</v>
      </c>
      <c r="C22" s="8" t="n">
        <v>0.6</v>
      </c>
      <c r="D22" s="8" t="n">
        <v>0.4</v>
      </c>
      <c r="E22" s="8" t="n">
        <v>0.3</v>
      </c>
    </row>
    <row r="23" customFormat="false" ht="15" hidden="false" customHeight="false" outlineLevel="0" collapsed="false">
      <c r="A23" s="8" t="s">
        <v>23</v>
      </c>
      <c r="B23" s="8" t="n">
        <v>0.4</v>
      </c>
      <c r="C23" s="8" t="n">
        <v>1</v>
      </c>
      <c r="D23" s="8" t="n">
        <v>0.2</v>
      </c>
      <c r="E23" s="8" t="n">
        <v>0.4</v>
      </c>
    </row>
    <row r="26" customFormat="false" ht="15" hidden="false" customHeight="false" outlineLevel="0" collapsed="false">
      <c r="A26" s="9" t="s">
        <v>33</v>
      </c>
    </row>
    <row r="27" customFormat="false" ht="15" hidden="false" customHeight="false" outlineLevel="0" collapsed="false">
      <c r="A27" s="9" t="s">
        <v>34</v>
      </c>
      <c r="B27" s="9" t="s">
        <v>35</v>
      </c>
      <c r="C27" s="9" t="s">
        <v>36</v>
      </c>
      <c r="D27" s="9" t="s">
        <v>37</v>
      </c>
      <c r="E27" s="9" t="s">
        <v>38</v>
      </c>
      <c r="F27" s="9" t="s">
        <v>39</v>
      </c>
    </row>
    <row r="28" customFormat="false" ht="15" hidden="false" customHeight="false" outlineLevel="0" collapsed="false">
      <c r="A28" s="8" t="s">
        <v>40</v>
      </c>
      <c r="B28" s="8" t="n">
        <v>80</v>
      </c>
      <c r="C28" s="8" t="n">
        <v>2</v>
      </c>
      <c r="D28" s="12" t="n">
        <v>0.95</v>
      </c>
      <c r="E28" s="12" t="n">
        <v>0.9</v>
      </c>
      <c r="F28" s="11"/>
    </row>
    <row r="29" customFormat="false" ht="15" hidden="false" customHeight="false" outlineLevel="0" collapsed="false">
      <c r="A29" s="8" t="s">
        <v>41</v>
      </c>
      <c r="B29" s="8" t="n">
        <v>120</v>
      </c>
      <c r="C29" s="8" t="n">
        <v>3</v>
      </c>
      <c r="D29" s="12" t="n">
        <v>0.92</v>
      </c>
      <c r="E29" s="12" t="n">
        <v>0.85</v>
      </c>
      <c r="F29" s="11"/>
    </row>
    <row r="30" customFormat="false" ht="15" hidden="false" customHeight="false" outlineLevel="0" collapsed="false">
      <c r="A30" s="8" t="s">
        <v>42</v>
      </c>
      <c r="B30" s="8" t="n">
        <v>60</v>
      </c>
      <c r="C30" s="8" t="n">
        <v>1</v>
      </c>
      <c r="D30" s="12" t="n">
        <v>0.98</v>
      </c>
      <c r="E30" s="12" t="n">
        <v>0.88</v>
      </c>
      <c r="F30" s="11"/>
    </row>
    <row r="31" customFormat="false" ht="15" hidden="false" customHeight="false" outlineLevel="0" collapsed="false">
      <c r="A31" s="8" t="s">
        <v>43</v>
      </c>
      <c r="B31" s="8" t="n">
        <v>40</v>
      </c>
      <c r="C31" s="8" t="n">
        <v>1</v>
      </c>
      <c r="D31" s="12" t="n">
        <v>1</v>
      </c>
      <c r="E31" s="12" t="n">
        <v>0.95</v>
      </c>
      <c r="F31" s="11"/>
    </row>
    <row r="34" customFormat="false" ht="15" hidden="false" customHeight="false" outlineLevel="0" collapsed="false">
      <c r="A34" s="9" t="s">
        <v>44</v>
      </c>
    </row>
    <row r="35" customFormat="false" ht="15" hidden="false" customHeight="false" outlineLevel="0" collapsed="false">
      <c r="A35" s="8" t="s">
        <v>45</v>
      </c>
    </row>
    <row r="37" customFormat="false" ht="15" hidden="false" customHeight="false" outlineLevel="0" collapsed="false">
      <c r="A37" s="9" t="s">
        <v>40</v>
      </c>
      <c r="B37" s="9" t="s">
        <v>16</v>
      </c>
      <c r="C37" s="9" t="s">
        <v>17</v>
      </c>
      <c r="D37" s="9" t="s">
        <v>18</v>
      </c>
      <c r="E37" s="9" t="s">
        <v>19</v>
      </c>
    </row>
    <row r="38" customFormat="false" ht="15" hidden="false" customHeight="false" outlineLevel="0" collapsed="false">
      <c r="A38" s="8" t="s">
        <v>46</v>
      </c>
      <c r="B38" s="11"/>
      <c r="C38" s="11"/>
      <c r="D38" s="11"/>
      <c r="E38" s="11"/>
    </row>
    <row r="39" customFormat="false" ht="15" hidden="false" customHeight="false" outlineLevel="0" collapsed="false">
      <c r="A39" s="8" t="s">
        <v>47</v>
      </c>
      <c r="B39" s="11"/>
      <c r="C39" s="11"/>
      <c r="D39" s="11"/>
      <c r="E39" s="11"/>
    </row>
    <row r="40" customFormat="false" ht="15" hidden="false" customHeight="false" outlineLevel="0" collapsed="false">
      <c r="A40" s="8" t="s">
        <v>48</v>
      </c>
      <c r="B40" s="11"/>
      <c r="C40" s="11"/>
      <c r="D40" s="11"/>
      <c r="E40" s="11"/>
    </row>
    <row r="41" customFormat="false" ht="15" hidden="false" customHeight="false" outlineLevel="0" collapsed="false">
      <c r="A41" s="8" t="s">
        <v>49</v>
      </c>
      <c r="B41" s="11"/>
      <c r="C41" s="11"/>
      <c r="D41" s="11"/>
      <c r="E41" s="11"/>
    </row>
    <row r="42" customFormat="false" ht="15" hidden="false" customHeight="false" outlineLevel="0" collapsed="false">
      <c r="A42" s="8" t="s">
        <v>50</v>
      </c>
      <c r="B42" s="11"/>
      <c r="C42" s="11"/>
      <c r="D42" s="11"/>
      <c r="E42" s="11"/>
    </row>
    <row r="43" customFormat="false" ht="15" hidden="false" customHeight="false" outlineLevel="0" collapsed="false">
      <c r="A43" s="8" t="s">
        <v>51</v>
      </c>
      <c r="B43" s="11"/>
      <c r="C43" s="11"/>
      <c r="D43" s="11"/>
      <c r="E43" s="11"/>
    </row>
    <row r="44" customFormat="false" ht="15" hidden="false" customHeight="false" outlineLevel="0" collapsed="false">
      <c r="A44" s="8" t="s">
        <v>9</v>
      </c>
      <c r="B44" s="11"/>
      <c r="C44" s="11"/>
      <c r="D44" s="11"/>
      <c r="E44" s="11"/>
    </row>
    <row r="46" customFormat="false" ht="15" hidden="false" customHeight="false" outlineLevel="0" collapsed="false">
      <c r="A46" s="9" t="s">
        <v>41</v>
      </c>
      <c r="B46" s="9" t="s">
        <v>16</v>
      </c>
      <c r="C46" s="9" t="s">
        <v>17</v>
      </c>
      <c r="D46" s="9" t="s">
        <v>18</v>
      </c>
      <c r="E46" s="9" t="s">
        <v>19</v>
      </c>
    </row>
    <row r="47" customFormat="false" ht="15" hidden="false" customHeight="false" outlineLevel="0" collapsed="false">
      <c r="A47" s="8" t="s">
        <v>46</v>
      </c>
      <c r="B47" s="11"/>
      <c r="C47" s="11"/>
      <c r="D47" s="11"/>
      <c r="E47" s="11"/>
    </row>
    <row r="48" customFormat="false" ht="15" hidden="false" customHeight="false" outlineLevel="0" collapsed="false">
      <c r="A48" s="8" t="s">
        <v>47</v>
      </c>
      <c r="B48" s="11"/>
      <c r="C48" s="11"/>
      <c r="D48" s="11"/>
      <c r="E48" s="11"/>
    </row>
    <row r="49" customFormat="false" ht="15" hidden="false" customHeight="false" outlineLevel="0" collapsed="false">
      <c r="A49" s="8" t="s">
        <v>48</v>
      </c>
      <c r="B49" s="11"/>
      <c r="C49" s="11"/>
      <c r="D49" s="11"/>
      <c r="E49" s="11"/>
    </row>
    <row r="50" customFormat="false" ht="15" hidden="false" customHeight="false" outlineLevel="0" collapsed="false">
      <c r="A50" s="8" t="s">
        <v>52</v>
      </c>
      <c r="B50" s="11"/>
      <c r="C50" s="11"/>
      <c r="D50" s="11"/>
      <c r="E50" s="11"/>
    </row>
    <row r="51" customFormat="false" ht="15" hidden="false" customHeight="false" outlineLevel="0" collapsed="false">
      <c r="A51" s="8" t="s">
        <v>50</v>
      </c>
      <c r="B51" s="11"/>
      <c r="C51" s="11"/>
      <c r="D51" s="11"/>
      <c r="E51" s="11"/>
    </row>
    <row r="52" customFormat="false" ht="15" hidden="false" customHeight="false" outlineLevel="0" collapsed="false">
      <c r="A52" s="8" t="s">
        <v>51</v>
      </c>
      <c r="B52" s="11"/>
      <c r="C52" s="11"/>
      <c r="D52" s="11"/>
      <c r="E52" s="11"/>
    </row>
    <row r="53" customFormat="false" ht="15" hidden="false" customHeight="false" outlineLevel="0" collapsed="false">
      <c r="A53" s="8" t="s">
        <v>9</v>
      </c>
      <c r="B53" s="11"/>
      <c r="C53" s="11"/>
      <c r="D53" s="11"/>
      <c r="E53" s="11"/>
    </row>
    <row r="55" customFormat="false" ht="15" hidden="false" customHeight="false" outlineLevel="0" collapsed="false">
      <c r="A55" s="9" t="s">
        <v>42</v>
      </c>
      <c r="B55" s="9" t="s">
        <v>16</v>
      </c>
      <c r="C55" s="9" t="s">
        <v>17</v>
      </c>
      <c r="D55" s="9" t="s">
        <v>18</v>
      </c>
      <c r="E55" s="9" t="s">
        <v>19</v>
      </c>
    </row>
    <row r="56" customFormat="false" ht="15" hidden="false" customHeight="false" outlineLevel="0" collapsed="false">
      <c r="A56" s="8" t="s">
        <v>46</v>
      </c>
      <c r="B56" s="11"/>
      <c r="C56" s="11"/>
      <c r="D56" s="11"/>
      <c r="E56" s="11"/>
    </row>
    <row r="57" customFormat="false" ht="15" hidden="false" customHeight="false" outlineLevel="0" collapsed="false">
      <c r="A57" s="8" t="s">
        <v>47</v>
      </c>
      <c r="B57" s="11"/>
      <c r="C57" s="11"/>
      <c r="D57" s="11"/>
      <c r="E57" s="11"/>
    </row>
    <row r="58" customFormat="false" ht="15" hidden="false" customHeight="false" outlineLevel="0" collapsed="false">
      <c r="A58" s="8" t="s">
        <v>48</v>
      </c>
      <c r="B58" s="11"/>
      <c r="C58" s="11"/>
      <c r="D58" s="11"/>
      <c r="E58" s="11"/>
    </row>
    <row r="59" customFormat="false" ht="15" hidden="false" customHeight="false" outlineLevel="0" collapsed="false">
      <c r="A59" s="8" t="s">
        <v>53</v>
      </c>
      <c r="B59" s="11"/>
      <c r="C59" s="11"/>
      <c r="D59" s="11"/>
      <c r="E59" s="11"/>
    </row>
    <row r="60" customFormat="false" ht="15" hidden="false" customHeight="false" outlineLevel="0" collapsed="false">
      <c r="A60" s="8" t="s">
        <v>50</v>
      </c>
      <c r="B60" s="11"/>
      <c r="C60" s="11"/>
      <c r="D60" s="11"/>
      <c r="E60" s="11"/>
    </row>
    <row r="61" customFormat="false" ht="15" hidden="false" customHeight="false" outlineLevel="0" collapsed="false">
      <c r="A61" s="8" t="s">
        <v>51</v>
      </c>
      <c r="B61" s="11"/>
      <c r="C61" s="11"/>
      <c r="D61" s="11"/>
      <c r="E61" s="11"/>
    </row>
    <row r="62" customFormat="false" ht="15" hidden="false" customHeight="false" outlineLevel="0" collapsed="false">
      <c r="A62" s="8" t="s">
        <v>9</v>
      </c>
      <c r="B62" s="11"/>
      <c r="C62" s="11"/>
      <c r="D62" s="11"/>
      <c r="E62" s="11"/>
    </row>
    <row r="64" customFormat="false" ht="15" hidden="false" customHeight="false" outlineLevel="0" collapsed="false">
      <c r="A64" s="9" t="s">
        <v>43</v>
      </c>
      <c r="B64" s="9" t="s">
        <v>16</v>
      </c>
      <c r="C64" s="9" t="s">
        <v>17</v>
      </c>
      <c r="D64" s="9" t="s">
        <v>18</v>
      </c>
      <c r="E64" s="9" t="s">
        <v>19</v>
      </c>
    </row>
    <row r="65" customFormat="false" ht="15" hidden="false" customHeight="false" outlineLevel="0" collapsed="false">
      <c r="A65" s="8" t="s">
        <v>46</v>
      </c>
      <c r="B65" s="11"/>
      <c r="C65" s="11"/>
      <c r="D65" s="11"/>
      <c r="E65" s="11"/>
    </row>
    <row r="66" customFormat="false" ht="15" hidden="false" customHeight="false" outlineLevel="0" collapsed="false">
      <c r="A66" s="8" t="s">
        <v>47</v>
      </c>
      <c r="B66" s="11"/>
      <c r="C66" s="11"/>
      <c r="D66" s="11"/>
      <c r="E66" s="11"/>
    </row>
    <row r="67" customFormat="false" ht="15" hidden="false" customHeight="false" outlineLevel="0" collapsed="false">
      <c r="A67" s="8" t="s">
        <v>48</v>
      </c>
      <c r="B67" s="11"/>
      <c r="C67" s="11"/>
      <c r="D67" s="11"/>
      <c r="E67" s="11"/>
    </row>
    <row r="68" customFormat="false" ht="15" hidden="false" customHeight="false" outlineLevel="0" collapsed="false">
      <c r="A68" s="8" t="s">
        <v>54</v>
      </c>
      <c r="B68" s="11"/>
      <c r="C68" s="11"/>
      <c r="D68" s="11"/>
      <c r="E68" s="11"/>
    </row>
    <row r="69" customFormat="false" ht="15" hidden="false" customHeight="false" outlineLevel="0" collapsed="false">
      <c r="A69" s="8" t="s">
        <v>50</v>
      </c>
      <c r="B69" s="11"/>
      <c r="C69" s="11"/>
      <c r="D69" s="11"/>
      <c r="E69" s="11"/>
    </row>
    <row r="70" customFormat="false" ht="15" hidden="false" customHeight="false" outlineLevel="0" collapsed="false">
      <c r="A70" s="8" t="s">
        <v>51</v>
      </c>
      <c r="B70" s="11"/>
      <c r="C70" s="11"/>
      <c r="D70" s="11"/>
      <c r="E70" s="11"/>
    </row>
    <row r="71" customFormat="false" ht="15" hidden="false" customHeight="false" outlineLevel="0" collapsed="false">
      <c r="A71" s="8" t="s">
        <v>9</v>
      </c>
      <c r="B71" s="11"/>
      <c r="C71" s="11"/>
      <c r="D71" s="11"/>
      <c r="E71" s="11"/>
    </row>
    <row r="74" customFormat="false" ht="15" hidden="false" customHeight="false" outlineLevel="0" collapsed="false">
      <c r="A74" s="9" t="s">
        <v>55</v>
      </c>
      <c r="C74" s="10" t="s">
        <v>56</v>
      </c>
      <c r="D74" s="10"/>
      <c r="E74" s="10"/>
      <c r="F74" s="10"/>
      <c r="G74" s="10"/>
      <c r="H74" s="10"/>
      <c r="I74" s="10"/>
      <c r="J74" s="10"/>
      <c r="K74" s="10"/>
    </row>
    <row r="75" customFormat="false" ht="15" hidden="false" customHeight="false" outlineLevel="0" collapsed="false">
      <c r="A75" s="9" t="s">
        <v>34</v>
      </c>
      <c r="B75" s="9" t="s">
        <v>16</v>
      </c>
      <c r="C75" s="9" t="s">
        <v>17</v>
      </c>
      <c r="D75" s="9" t="s">
        <v>18</v>
      </c>
      <c r="E75" s="9" t="s">
        <v>19</v>
      </c>
      <c r="F75" s="9" t="s">
        <v>57</v>
      </c>
    </row>
    <row r="76" customFormat="false" ht="15" hidden="false" customHeight="false" outlineLevel="0" collapsed="false">
      <c r="A76" s="8" t="s">
        <v>25</v>
      </c>
      <c r="B76" s="11"/>
      <c r="C76" s="11"/>
      <c r="D76" s="11"/>
      <c r="E76" s="11"/>
    </row>
    <row r="77" customFormat="false" ht="15" hidden="false" customHeight="false" outlineLevel="0" collapsed="false">
      <c r="A77" s="8" t="s">
        <v>26</v>
      </c>
      <c r="B77" s="11"/>
      <c r="C77" s="11"/>
      <c r="D77" s="11"/>
      <c r="E77" s="11"/>
    </row>
    <row r="78" customFormat="false" ht="15" hidden="false" customHeight="false" outlineLevel="0" collapsed="false">
      <c r="A78" s="8" t="s">
        <v>27</v>
      </c>
      <c r="B78" s="11"/>
      <c r="C78" s="11"/>
      <c r="D78" s="11"/>
      <c r="E78" s="11"/>
    </row>
    <row r="79" customFormat="false" ht="15" hidden="false" customHeight="false" outlineLevel="0" collapsed="false">
      <c r="A79" s="8" t="s">
        <v>28</v>
      </c>
      <c r="B79" s="11"/>
      <c r="C79" s="11"/>
      <c r="D79" s="11"/>
      <c r="E79" s="11"/>
    </row>
    <row r="82" customFormat="false" ht="15" hidden="false" customHeight="false" outlineLevel="0" collapsed="false">
      <c r="A82" s="9" t="s">
        <v>58</v>
      </c>
    </row>
    <row r="83" customFormat="false" ht="15" hidden="false" customHeight="false" outlineLevel="0" collapsed="false">
      <c r="A83" s="8" t="s">
        <v>59</v>
      </c>
    </row>
    <row r="84" customFormat="false" ht="15" hidden="false" customHeight="false" outlineLevel="0" collapsed="false">
      <c r="A84" s="8" t="s">
        <v>60</v>
      </c>
    </row>
    <row r="85" customFormat="false" ht="15" hidden="false" customHeight="false" outlineLevel="0" collapsed="false">
      <c r="A85" s="8" t="s">
        <v>61</v>
      </c>
    </row>
    <row r="86" customFormat="false" ht="15" hidden="false" customHeight="false" outlineLevel="0" collapsed="false">
      <c r="A86" s="8" t="s">
        <v>62</v>
      </c>
    </row>
    <row r="87" customFormat="false" ht="15" hidden="false" customHeight="false" outlineLevel="0" collapsed="false">
      <c r="A87" s="8" t="s">
        <v>63</v>
      </c>
    </row>
    <row r="90" customFormat="false" ht="15" hidden="false" customHeight="false" outlineLevel="0" collapsed="false">
      <c r="A90" s="9" t="s">
        <v>64</v>
      </c>
      <c r="C90" s="10" t="s">
        <v>65</v>
      </c>
      <c r="D90" s="10"/>
      <c r="E90" s="10"/>
      <c r="F90" s="10"/>
      <c r="G90" s="10"/>
      <c r="H90" s="10"/>
      <c r="I90" s="10"/>
      <c r="J90" s="10"/>
      <c r="K90" s="10"/>
    </row>
    <row r="92" customFormat="false" ht="15" hidden="false" customHeight="false" outlineLevel="0" collapsed="false">
      <c r="A92" s="8" t="s">
        <v>66</v>
      </c>
      <c r="F92" s="8" t="s">
        <v>67</v>
      </c>
    </row>
    <row r="93" customFormat="false" ht="15" hidden="false" customHeight="false" outlineLevel="0" collapsed="false">
      <c r="A93" s="8" t="s">
        <v>68</v>
      </c>
      <c r="F93" s="8" t="s">
        <v>67</v>
      </c>
    </row>
    <row r="94" customFormat="false" ht="15" hidden="false" customHeight="false" outlineLevel="0" collapsed="false">
      <c r="A94" s="8" t="s">
        <v>69</v>
      </c>
      <c r="F94" s="8" t="s">
        <v>67</v>
      </c>
    </row>
    <row r="95" customFormat="false" ht="15" hidden="false" customHeight="false" outlineLevel="0" collapsed="false">
      <c r="A95" s="8" t="s">
        <v>70</v>
      </c>
      <c r="F95" s="8" t="s">
        <v>67</v>
      </c>
    </row>
    <row r="96" customFormat="false" ht="15" hidden="false" customHeight="false" outlineLevel="0" collapsed="false">
      <c r="A96" s="8" t="s">
        <v>71</v>
      </c>
      <c r="F96" s="8" t="s">
        <v>67</v>
      </c>
    </row>
    <row r="97" customFormat="false" ht="15" hidden="false" customHeight="false" outlineLevel="0" collapsed="false">
      <c r="A97" s="8" t="s">
        <v>72</v>
      </c>
      <c r="F97" s="8" t="s">
        <v>67</v>
      </c>
    </row>
  </sheetData>
  <mergeCells count="18">
    <mergeCell ref="A1:K1"/>
    <mergeCell ref="A2:K2"/>
    <mergeCell ref="A3:K3"/>
    <mergeCell ref="A4:K4"/>
    <mergeCell ref="H6:K6"/>
    <mergeCell ref="M6:O6"/>
    <mergeCell ref="H7:K7"/>
    <mergeCell ref="M7:O7"/>
    <mergeCell ref="H8:K8"/>
    <mergeCell ref="M8:N8"/>
    <mergeCell ref="H9:K9"/>
    <mergeCell ref="M9:N9"/>
    <mergeCell ref="H10:K10"/>
    <mergeCell ref="M10:N10"/>
    <mergeCell ref="C11:K11"/>
    <mergeCell ref="M11:N11"/>
    <mergeCell ref="C74:K74"/>
    <mergeCell ref="C90:K9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8" min="8" style="0" width="20"/>
    <col collapsed="false" customWidth="true" hidden="false" outlineLevel="0" max="13" min="13" style="0" width="24"/>
    <col collapsed="false" customWidth="true" hidden="false" outlineLevel="0" max="15" min="15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1" t="s">
        <v>73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3" t="s">
        <v>74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15" hidden="false" customHeight="false" outlineLevel="0" collapsed="false">
      <c r="H6" s="1" t="s">
        <v>4</v>
      </c>
      <c r="I6" s="1"/>
      <c r="J6" s="1"/>
      <c r="K6" s="1"/>
      <c r="M6" s="1" t="s">
        <v>5</v>
      </c>
      <c r="N6" s="1"/>
      <c r="O6" s="1"/>
    </row>
    <row r="7" customFormat="false" ht="23.85" hidden="false" customHeight="true" outlineLevel="0" collapsed="false">
      <c r="H7" s="4" t="s">
        <v>6</v>
      </c>
      <c r="I7" s="4"/>
      <c r="J7" s="4"/>
      <c r="K7" s="4"/>
      <c r="M7" s="5" t="s">
        <v>7</v>
      </c>
      <c r="N7" s="5"/>
      <c r="O7" s="5"/>
    </row>
    <row r="8" customFormat="false" ht="23.85" hidden="false" customHeight="true" outlineLevel="0" collapsed="false">
      <c r="H8" s="4" t="s">
        <v>8</v>
      </c>
      <c r="I8" s="4"/>
      <c r="J8" s="4"/>
      <c r="K8" s="4"/>
      <c r="M8" s="6" t="s">
        <v>9</v>
      </c>
      <c r="N8" s="6"/>
      <c r="O8" s="7" t="n">
        <v>3.2895</v>
      </c>
    </row>
    <row r="9" customFormat="false" ht="35.05" hidden="false" customHeight="true" outlineLevel="0" collapsed="false">
      <c r="A9" s="8" t="s">
        <v>10</v>
      </c>
      <c r="H9" s="4" t="s">
        <v>11</v>
      </c>
      <c r="I9" s="4"/>
      <c r="J9" s="4"/>
      <c r="K9" s="4"/>
      <c r="M9" s="6" t="s">
        <v>9</v>
      </c>
      <c r="N9" s="6"/>
      <c r="O9" s="7" t="n">
        <v>4</v>
      </c>
    </row>
    <row r="10" customFormat="false" ht="23.85" hidden="false" customHeight="true" outlineLevel="0" collapsed="false">
      <c r="H10" s="4" t="s">
        <v>12</v>
      </c>
      <c r="I10" s="4"/>
      <c r="J10" s="4"/>
      <c r="K10" s="4"/>
      <c r="M10" s="6" t="s">
        <v>9</v>
      </c>
      <c r="N10" s="6"/>
      <c r="O10" s="7" t="n">
        <v>4.7368</v>
      </c>
    </row>
    <row r="11" customFormat="false" ht="15" hidden="false" customHeight="false" outlineLevel="0" collapsed="false">
      <c r="A11" s="9" t="s">
        <v>13</v>
      </c>
      <c r="C11" s="10" t="s">
        <v>14</v>
      </c>
      <c r="D11" s="10"/>
      <c r="E11" s="10"/>
      <c r="F11" s="10"/>
      <c r="G11" s="10"/>
      <c r="H11" s="10"/>
      <c r="I11" s="10"/>
      <c r="J11" s="10"/>
      <c r="K11" s="10"/>
      <c r="M11" s="6" t="s">
        <v>9</v>
      </c>
      <c r="N11" s="6"/>
      <c r="O11" s="7" t="n">
        <v>4.5789</v>
      </c>
    </row>
    <row r="12" customFormat="false" ht="15" hidden="false" customHeight="false" outlineLevel="0" collapsed="false">
      <c r="A12" s="9" t="s">
        <v>15</v>
      </c>
      <c r="B12" s="9" t="s">
        <v>16</v>
      </c>
      <c r="C12" s="9" t="s">
        <v>17</v>
      </c>
      <c r="D12" s="9" t="s">
        <v>18</v>
      </c>
      <c r="E12" s="9" t="s">
        <v>19</v>
      </c>
      <c r="F12" s="9" t="s">
        <v>20</v>
      </c>
    </row>
    <row r="13" customFormat="false" ht="15" hidden="false" customHeight="false" outlineLevel="0" collapsed="false">
      <c r="A13" s="8" t="s">
        <v>21</v>
      </c>
      <c r="B13" s="8" t="n">
        <v>200</v>
      </c>
      <c r="C13" s="8" t="n">
        <v>250</v>
      </c>
      <c r="D13" s="8" t="n">
        <v>300</v>
      </c>
      <c r="E13" s="8" t="n">
        <v>280</v>
      </c>
      <c r="F13" s="11" t="n">
        <f aca="false">SUM(B13:E13)</f>
        <v>1030</v>
      </c>
    </row>
    <row r="14" customFormat="false" ht="15" hidden="false" customHeight="false" outlineLevel="0" collapsed="false">
      <c r="A14" s="8" t="s">
        <v>22</v>
      </c>
      <c r="B14" s="8" t="n">
        <v>150</v>
      </c>
      <c r="C14" s="8" t="n">
        <v>180</v>
      </c>
      <c r="D14" s="8" t="n">
        <v>200</v>
      </c>
      <c r="E14" s="8" t="n">
        <v>220</v>
      </c>
      <c r="F14" s="11" t="n">
        <f aca="false">SUM(B14:E14)</f>
        <v>750</v>
      </c>
    </row>
    <row r="15" customFormat="false" ht="15" hidden="false" customHeight="false" outlineLevel="0" collapsed="false">
      <c r="A15" s="8" t="s">
        <v>23</v>
      </c>
      <c r="B15" s="8" t="n">
        <v>100</v>
      </c>
      <c r="C15" s="8" t="n">
        <v>120</v>
      </c>
      <c r="D15" s="8" t="n">
        <v>150</v>
      </c>
      <c r="E15" s="8" t="n">
        <v>130</v>
      </c>
      <c r="F15" s="11" t="n">
        <f aca="false">SUM(B15:E15)</f>
        <v>500</v>
      </c>
    </row>
    <row r="18" customFormat="false" ht="15" hidden="false" customHeight="false" outlineLevel="0" collapsed="false">
      <c r="A18" s="9" t="s">
        <v>24</v>
      </c>
    </row>
    <row r="19" customFormat="false" ht="15" hidden="false" customHeight="false" outlineLevel="0" collapsed="false">
      <c r="B19" s="9" t="s">
        <v>25</v>
      </c>
      <c r="C19" s="9" t="s">
        <v>26</v>
      </c>
      <c r="D19" s="9" t="s">
        <v>27</v>
      </c>
      <c r="E19" s="9" t="s">
        <v>28</v>
      </c>
    </row>
    <row r="20" customFormat="false" ht="15" hidden="false" customHeight="false" outlineLevel="0" collapsed="false">
      <c r="B20" s="8" t="s">
        <v>29</v>
      </c>
      <c r="C20" s="8" t="s">
        <v>30</v>
      </c>
      <c r="D20" s="8" t="s">
        <v>31</v>
      </c>
      <c r="E20" s="8" t="s">
        <v>32</v>
      </c>
    </row>
    <row r="21" customFormat="false" ht="15" hidden="false" customHeight="false" outlineLevel="0" collapsed="false">
      <c r="A21" s="8" t="s">
        <v>21</v>
      </c>
      <c r="B21" s="8" t="n">
        <v>0.5</v>
      </c>
      <c r="C21" s="8" t="n">
        <v>0.8</v>
      </c>
      <c r="D21" s="8" t="n">
        <v>0.3</v>
      </c>
      <c r="E21" s="8" t="n">
        <v>0.2</v>
      </c>
    </row>
    <row r="22" customFormat="false" ht="15" hidden="false" customHeight="false" outlineLevel="0" collapsed="false">
      <c r="A22" s="8" t="s">
        <v>22</v>
      </c>
      <c r="B22" s="8" t="n">
        <v>0.7</v>
      </c>
      <c r="C22" s="8" t="n">
        <v>0.6</v>
      </c>
      <c r="D22" s="8" t="n">
        <v>0.4</v>
      </c>
      <c r="E22" s="8" t="n">
        <v>0.3</v>
      </c>
    </row>
    <row r="23" customFormat="false" ht="15" hidden="false" customHeight="false" outlineLevel="0" collapsed="false">
      <c r="A23" s="8" t="s">
        <v>23</v>
      </c>
      <c r="B23" s="8" t="n">
        <v>0.4</v>
      </c>
      <c r="C23" s="8" t="n">
        <v>1</v>
      </c>
      <c r="D23" s="8" t="n">
        <v>0.2</v>
      </c>
      <c r="E23" s="8" t="n">
        <v>0.4</v>
      </c>
    </row>
    <row r="26" customFormat="false" ht="15" hidden="false" customHeight="false" outlineLevel="0" collapsed="false">
      <c r="A26" s="9" t="s">
        <v>33</v>
      </c>
    </row>
    <row r="27" customFormat="false" ht="15" hidden="false" customHeight="false" outlineLevel="0" collapsed="false">
      <c r="A27" s="9" t="s">
        <v>34</v>
      </c>
      <c r="B27" s="9" t="s">
        <v>35</v>
      </c>
      <c r="C27" s="9" t="s">
        <v>36</v>
      </c>
      <c r="D27" s="9" t="s">
        <v>37</v>
      </c>
      <c r="E27" s="9" t="s">
        <v>38</v>
      </c>
      <c r="F27" s="9" t="s">
        <v>39</v>
      </c>
    </row>
    <row r="28" customFormat="false" ht="15" hidden="false" customHeight="false" outlineLevel="0" collapsed="false">
      <c r="A28" s="8" t="s">
        <v>40</v>
      </c>
      <c r="B28" s="8" t="n">
        <v>80</v>
      </c>
      <c r="C28" s="8" t="n">
        <v>2</v>
      </c>
      <c r="D28" s="12" t="n">
        <v>0.95</v>
      </c>
      <c r="E28" s="12" t="n">
        <v>0.9</v>
      </c>
      <c r="F28" s="11" t="n">
        <f aca="false">B28*C28*D28*E28</f>
        <v>136.8</v>
      </c>
    </row>
    <row r="29" customFormat="false" ht="15" hidden="false" customHeight="false" outlineLevel="0" collapsed="false">
      <c r="A29" s="8" t="s">
        <v>41</v>
      </c>
      <c r="B29" s="8" t="n">
        <v>120</v>
      </c>
      <c r="C29" s="8" t="n">
        <v>3</v>
      </c>
      <c r="D29" s="12" t="n">
        <v>0.92</v>
      </c>
      <c r="E29" s="12" t="n">
        <v>0.85</v>
      </c>
      <c r="F29" s="11" t="n">
        <f aca="false">B29*C29*D29*E29</f>
        <v>281.52</v>
      </c>
    </row>
    <row r="30" customFormat="false" ht="15" hidden="false" customHeight="false" outlineLevel="0" collapsed="false">
      <c r="A30" s="8" t="s">
        <v>42</v>
      </c>
      <c r="B30" s="8" t="n">
        <v>60</v>
      </c>
      <c r="C30" s="8" t="n">
        <v>1</v>
      </c>
      <c r="D30" s="12" t="n">
        <v>0.98</v>
      </c>
      <c r="E30" s="12" t="n">
        <v>0.88</v>
      </c>
      <c r="F30" s="11" t="n">
        <f aca="false">B30*C30*D30*E30</f>
        <v>51.744</v>
      </c>
    </row>
    <row r="31" customFormat="false" ht="15" hidden="false" customHeight="false" outlineLevel="0" collapsed="false">
      <c r="A31" s="8" t="s">
        <v>43</v>
      </c>
      <c r="B31" s="8" t="n">
        <v>40</v>
      </c>
      <c r="C31" s="8" t="n">
        <v>1</v>
      </c>
      <c r="D31" s="12" t="n">
        <v>1</v>
      </c>
      <c r="E31" s="12" t="n">
        <v>0.95</v>
      </c>
      <c r="F31" s="11" t="n">
        <f aca="false">B31*C31*D31*E31</f>
        <v>38</v>
      </c>
    </row>
    <row r="34" customFormat="false" ht="15" hidden="false" customHeight="false" outlineLevel="0" collapsed="false">
      <c r="A34" s="9" t="s">
        <v>44</v>
      </c>
    </row>
    <row r="35" customFormat="false" ht="15" hidden="false" customHeight="false" outlineLevel="0" collapsed="false">
      <c r="A35" s="8" t="s">
        <v>45</v>
      </c>
    </row>
    <row r="37" customFormat="false" ht="15" hidden="false" customHeight="false" outlineLevel="0" collapsed="false">
      <c r="A37" s="9" t="s">
        <v>40</v>
      </c>
      <c r="B37" s="9" t="s">
        <v>16</v>
      </c>
      <c r="C37" s="9" t="s">
        <v>17</v>
      </c>
      <c r="D37" s="9" t="s">
        <v>18</v>
      </c>
      <c r="E37" s="9" t="s">
        <v>19</v>
      </c>
    </row>
    <row r="38" customFormat="false" ht="15" hidden="false" customHeight="false" outlineLevel="0" collapsed="false">
      <c r="A38" s="8" t="s">
        <v>46</v>
      </c>
      <c r="B38" s="11" t="n">
        <f aca="false">B13*$B$21</f>
        <v>100</v>
      </c>
      <c r="C38" s="11" t="n">
        <f aca="false">C13*$B$21</f>
        <v>125</v>
      </c>
      <c r="D38" s="11" t="n">
        <f aca="false">D13*$B$21</f>
        <v>150</v>
      </c>
      <c r="E38" s="11" t="n">
        <f aca="false">E13*$B$21</f>
        <v>140</v>
      </c>
    </row>
    <row r="39" customFormat="false" ht="15" hidden="false" customHeight="false" outlineLevel="0" collapsed="false">
      <c r="A39" s="8" t="s">
        <v>47</v>
      </c>
      <c r="B39" s="11" t="n">
        <f aca="false">B14*$B$22</f>
        <v>105</v>
      </c>
      <c r="C39" s="11" t="n">
        <f aca="false">C14*$B$22</f>
        <v>126</v>
      </c>
      <c r="D39" s="11" t="n">
        <f aca="false">D14*$B$22</f>
        <v>140</v>
      </c>
      <c r="E39" s="11" t="n">
        <f aca="false">E14*$B$22</f>
        <v>154</v>
      </c>
    </row>
    <row r="40" customFormat="false" ht="15" hidden="false" customHeight="false" outlineLevel="0" collapsed="false">
      <c r="A40" s="8" t="s">
        <v>48</v>
      </c>
      <c r="B40" s="11" t="n">
        <f aca="false">B15*$B$23</f>
        <v>40</v>
      </c>
      <c r="C40" s="11" t="n">
        <f aca="false">C15*$B$23</f>
        <v>48</v>
      </c>
      <c r="D40" s="11" t="n">
        <f aca="false">D15*$B$23</f>
        <v>60</v>
      </c>
      <c r="E40" s="11" t="n">
        <f aca="false">E15*$B$23</f>
        <v>52</v>
      </c>
    </row>
    <row r="41" customFormat="false" ht="15" hidden="false" customHeight="false" outlineLevel="0" collapsed="false">
      <c r="A41" s="8" t="s">
        <v>49</v>
      </c>
      <c r="B41" s="11" t="n">
        <f aca="false">SUM(B38:B40)</f>
        <v>245</v>
      </c>
      <c r="C41" s="11" t="n">
        <f aca="false">SUM(C38:C40)</f>
        <v>299</v>
      </c>
      <c r="D41" s="11" t="n">
        <f aca="false">SUM(D38:D40)</f>
        <v>350</v>
      </c>
      <c r="E41" s="11" t="n">
        <f aca="false">SUM(E38:E40)</f>
        <v>346</v>
      </c>
    </row>
    <row r="42" customFormat="false" ht="15" hidden="false" customHeight="false" outlineLevel="0" collapsed="false">
      <c r="A42" s="8" t="s">
        <v>50</v>
      </c>
      <c r="B42" s="11" t="n">
        <f aca="false">$F$28</f>
        <v>136.8</v>
      </c>
      <c r="C42" s="11" t="n">
        <f aca="false">$F$28</f>
        <v>136.8</v>
      </c>
      <c r="D42" s="11" t="n">
        <f aca="false">$F$28</f>
        <v>136.8</v>
      </c>
      <c r="E42" s="11" t="n">
        <f aca="false">$F$28</f>
        <v>136.8</v>
      </c>
    </row>
    <row r="43" customFormat="false" ht="15" hidden="false" customHeight="false" outlineLevel="0" collapsed="false">
      <c r="A43" s="8" t="s">
        <v>51</v>
      </c>
      <c r="B43" s="11" t="n">
        <f aca="false">B41-B42</f>
        <v>108.2</v>
      </c>
      <c r="C43" s="11" t="n">
        <f aca="false">C41-C42</f>
        <v>162.2</v>
      </c>
      <c r="D43" s="11" t="n">
        <f aca="false">D41-D42</f>
        <v>213.2</v>
      </c>
      <c r="E43" s="11" t="n">
        <f aca="false">E41-E42</f>
        <v>209.2</v>
      </c>
    </row>
    <row r="44" customFormat="false" ht="15" hidden="false" customHeight="false" outlineLevel="0" collapsed="false">
      <c r="A44" s="8" t="s">
        <v>9</v>
      </c>
      <c r="B44" s="11" t="n">
        <f aca="false">B41/B42</f>
        <v>1.79093567251462</v>
      </c>
      <c r="C44" s="11" t="n">
        <f aca="false">C41/C42</f>
        <v>2.18567251461988</v>
      </c>
      <c r="D44" s="11" t="n">
        <f aca="false">D41/D42</f>
        <v>2.55847953216374</v>
      </c>
      <c r="E44" s="11" t="n">
        <f aca="false">E41/E42</f>
        <v>2.52923976608187</v>
      </c>
    </row>
    <row r="46" customFormat="false" ht="15" hidden="false" customHeight="false" outlineLevel="0" collapsed="false">
      <c r="A46" s="9" t="s">
        <v>41</v>
      </c>
      <c r="B46" s="9" t="s">
        <v>16</v>
      </c>
      <c r="C46" s="9" t="s">
        <v>17</v>
      </c>
      <c r="D46" s="9" t="s">
        <v>18</v>
      </c>
      <c r="E46" s="9" t="s">
        <v>19</v>
      </c>
    </row>
    <row r="47" customFormat="false" ht="15" hidden="false" customHeight="false" outlineLevel="0" collapsed="false">
      <c r="A47" s="8" t="s">
        <v>46</v>
      </c>
      <c r="B47" s="11" t="n">
        <f aca="false">B13*$C$21</f>
        <v>160</v>
      </c>
      <c r="C47" s="11" t="n">
        <f aca="false">C13*$C$21</f>
        <v>200</v>
      </c>
      <c r="D47" s="11" t="n">
        <f aca="false">D13*$C$21</f>
        <v>240</v>
      </c>
      <c r="E47" s="11" t="n">
        <f aca="false">E13*$C$21</f>
        <v>224</v>
      </c>
    </row>
    <row r="48" customFormat="false" ht="15" hidden="false" customHeight="false" outlineLevel="0" collapsed="false">
      <c r="A48" s="8" t="s">
        <v>47</v>
      </c>
      <c r="B48" s="11" t="n">
        <f aca="false">B14*$C$22</f>
        <v>90</v>
      </c>
      <c r="C48" s="11" t="n">
        <f aca="false">C14*$C$22</f>
        <v>108</v>
      </c>
      <c r="D48" s="11" t="n">
        <f aca="false">D14*$C$22</f>
        <v>120</v>
      </c>
      <c r="E48" s="11" t="n">
        <f aca="false">E14*$C$22</f>
        <v>132</v>
      </c>
    </row>
    <row r="49" customFormat="false" ht="15" hidden="false" customHeight="false" outlineLevel="0" collapsed="false">
      <c r="A49" s="8" t="s">
        <v>48</v>
      </c>
      <c r="B49" s="11" t="n">
        <f aca="false">B15*$C$23</f>
        <v>100</v>
      </c>
      <c r="C49" s="11" t="n">
        <f aca="false">C15*$C$23</f>
        <v>120</v>
      </c>
      <c r="D49" s="11" t="n">
        <f aca="false">D15*$C$23</f>
        <v>150</v>
      </c>
      <c r="E49" s="11" t="n">
        <f aca="false">E15*$C$23</f>
        <v>130</v>
      </c>
    </row>
    <row r="50" customFormat="false" ht="15" hidden="false" customHeight="false" outlineLevel="0" collapsed="false">
      <c r="A50" s="8" t="s">
        <v>52</v>
      </c>
      <c r="B50" s="11" t="n">
        <f aca="false">SUM(B47:B49)</f>
        <v>350</v>
      </c>
      <c r="C50" s="11" t="n">
        <f aca="false">SUM(C47:C49)</f>
        <v>428</v>
      </c>
      <c r="D50" s="11" t="n">
        <f aca="false">SUM(D47:D49)</f>
        <v>510</v>
      </c>
      <c r="E50" s="11" t="n">
        <f aca="false">SUM(E47:E49)</f>
        <v>486</v>
      </c>
    </row>
    <row r="51" customFormat="false" ht="15" hidden="false" customHeight="false" outlineLevel="0" collapsed="false">
      <c r="A51" s="8" t="s">
        <v>50</v>
      </c>
      <c r="B51" s="11" t="n">
        <f aca="false">$F$29</f>
        <v>281.52</v>
      </c>
      <c r="C51" s="11" t="n">
        <f aca="false">$F$29</f>
        <v>281.52</v>
      </c>
      <c r="D51" s="11" t="n">
        <f aca="false">$F$29</f>
        <v>281.52</v>
      </c>
      <c r="E51" s="11" t="n">
        <f aca="false">$F$29</f>
        <v>281.52</v>
      </c>
    </row>
    <row r="52" customFormat="false" ht="15" hidden="false" customHeight="false" outlineLevel="0" collapsed="false">
      <c r="A52" s="8" t="s">
        <v>51</v>
      </c>
      <c r="B52" s="11" t="n">
        <f aca="false">B50-B51</f>
        <v>68.48</v>
      </c>
      <c r="C52" s="11" t="n">
        <f aca="false">C50-C51</f>
        <v>146.48</v>
      </c>
      <c r="D52" s="11" t="n">
        <f aca="false">D50-D51</f>
        <v>228.48</v>
      </c>
      <c r="E52" s="11" t="n">
        <f aca="false">E50-E51</f>
        <v>204.48</v>
      </c>
    </row>
    <row r="53" customFormat="false" ht="15" hidden="false" customHeight="false" outlineLevel="0" collapsed="false">
      <c r="A53" s="8" t="s">
        <v>9</v>
      </c>
      <c r="B53" s="11" t="n">
        <f aca="false">B50/B51</f>
        <v>1.24325092355783</v>
      </c>
      <c r="C53" s="11" t="n">
        <f aca="false">C50/C51</f>
        <v>1.52031827223643</v>
      </c>
      <c r="D53" s="11" t="n">
        <f aca="false">D50/D51</f>
        <v>1.81159420289855</v>
      </c>
      <c r="E53" s="11" t="n">
        <f aca="false">E50/E51</f>
        <v>1.72634271099744</v>
      </c>
    </row>
    <row r="55" customFormat="false" ht="15" hidden="false" customHeight="false" outlineLevel="0" collapsed="false">
      <c r="A55" s="9" t="s">
        <v>42</v>
      </c>
      <c r="B55" s="9" t="s">
        <v>16</v>
      </c>
      <c r="C55" s="9" t="s">
        <v>17</v>
      </c>
      <c r="D55" s="9" t="s">
        <v>18</v>
      </c>
      <c r="E55" s="9" t="s">
        <v>19</v>
      </c>
    </row>
    <row r="56" customFormat="false" ht="15" hidden="false" customHeight="false" outlineLevel="0" collapsed="false">
      <c r="A56" s="8" t="s">
        <v>46</v>
      </c>
      <c r="B56" s="11" t="n">
        <f aca="false">B13*$D$21</f>
        <v>60</v>
      </c>
      <c r="C56" s="11" t="n">
        <f aca="false">C13*$D$21</f>
        <v>75</v>
      </c>
      <c r="D56" s="11" t="n">
        <f aca="false">D13*$D$21</f>
        <v>90</v>
      </c>
      <c r="E56" s="11" t="n">
        <f aca="false">E13*$D$21</f>
        <v>84</v>
      </c>
    </row>
    <row r="57" customFormat="false" ht="15" hidden="false" customHeight="false" outlineLevel="0" collapsed="false">
      <c r="A57" s="8" t="s">
        <v>47</v>
      </c>
      <c r="B57" s="11" t="n">
        <f aca="false">B14*$D$22</f>
        <v>60</v>
      </c>
      <c r="C57" s="11" t="n">
        <f aca="false">C14*$D$22</f>
        <v>72</v>
      </c>
      <c r="D57" s="11" t="n">
        <f aca="false">D14*$D$22</f>
        <v>80</v>
      </c>
      <c r="E57" s="11" t="n">
        <f aca="false">E14*$D$22</f>
        <v>88</v>
      </c>
    </row>
    <row r="58" customFormat="false" ht="15" hidden="false" customHeight="false" outlineLevel="0" collapsed="false">
      <c r="A58" s="8" t="s">
        <v>48</v>
      </c>
      <c r="B58" s="11" t="n">
        <f aca="false">B15*$D$23</f>
        <v>20</v>
      </c>
      <c r="C58" s="11" t="n">
        <f aca="false">C15*$D$23</f>
        <v>24</v>
      </c>
      <c r="D58" s="11" t="n">
        <f aca="false">D15*$D$23</f>
        <v>30</v>
      </c>
      <c r="E58" s="11" t="n">
        <f aca="false">E15*$D$23</f>
        <v>26</v>
      </c>
    </row>
    <row r="59" customFormat="false" ht="15" hidden="false" customHeight="false" outlineLevel="0" collapsed="false">
      <c r="A59" s="8" t="s">
        <v>53</v>
      </c>
      <c r="B59" s="11" t="n">
        <f aca="false">SUM(B56:B58)</f>
        <v>140</v>
      </c>
      <c r="C59" s="11" t="n">
        <f aca="false">SUM(C56:C58)</f>
        <v>171</v>
      </c>
      <c r="D59" s="11" t="n">
        <f aca="false">SUM(D56:D58)</f>
        <v>200</v>
      </c>
      <c r="E59" s="11" t="n">
        <f aca="false">SUM(E56:E58)</f>
        <v>198</v>
      </c>
    </row>
    <row r="60" customFormat="false" ht="15" hidden="false" customHeight="false" outlineLevel="0" collapsed="false">
      <c r="A60" s="8" t="s">
        <v>50</v>
      </c>
      <c r="B60" s="11" t="n">
        <f aca="false">$F$30</f>
        <v>51.744</v>
      </c>
      <c r="C60" s="11" t="n">
        <f aca="false">$F$30</f>
        <v>51.744</v>
      </c>
      <c r="D60" s="11" t="n">
        <f aca="false">$F$30</f>
        <v>51.744</v>
      </c>
      <c r="E60" s="11" t="n">
        <f aca="false">$F$30</f>
        <v>51.744</v>
      </c>
    </row>
    <row r="61" customFormat="false" ht="15" hidden="false" customHeight="false" outlineLevel="0" collapsed="false">
      <c r="A61" s="8" t="s">
        <v>51</v>
      </c>
      <c r="B61" s="11" t="n">
        <f aca="false">B59-B60</f>
        <v>88.256</v>
      </c>
      <c r="C61" s="11" t="n">
        <f aca="false">C59-C60</f>
        <v>119.256</v>
      </c>
      <c r="D61" s="11" t="n">
        <f aca="false">D59-D60</f>
        <v>148.256</v>
      </c>
      <c r="E61" s="11" t="n">
        <f aca="false">E59-E60</f>
        <v>146.256</v>
      </c>
    </row>
    <row r="62" customFormat="false" ht="15" hidden="false" customHeight="false" outlineLevel="0" collapsed="false">
      <c r="A62" s="8" t="s">
        <v>9</v>
      </c>
      <c r="B62" s="11" t="n">
        <f aca="false">B59/B60</f>
        <v>2.70562770562771</v>
      </c>
      <c r="C62" s="11" t="n">
        <f aca="false">C59/C60</f>
        <v>3.30473098330241</v>
      </c>
      <c r="D62" s="11" t="n">
        <f aca="false">D59/D60</f>
        <v>3.86518243661101</v>
      </c>
      <c r="E62" s="11" t="n">
        <f aca="false">E59/E60</f>
        <v>3.8265306122449</v>
      </c>
    </row>
    <row r="64" customFormat="false" ht="15" hidden="false" customHeight="false" outlineLevel="0" collapsed="false">
      <c r="A64" s="9" t="s">
        <v>43</v>
      </c>
      <c r="B64" s="9" t="s">
        <v>16</v>
      </c>
      <c r="C64" s="9" t="s">
        <v>17</v>
      </c>
      <c r="D64" s="9" t="s">
        <v>18</v>
      </c>
      <c r="E64" s="9" t="s">
        <v>19</v>
      </c>
    </row>
    <row r="65" customFormat="false" ht="15" hidden="false" customHeight="false" outlineLevel="0" collapsed="false">
      <c r="A65" s="8" t="s">
        <v>46</v>
      </c>
      <c r="B65" s="11" t="n">
        <f aca="false">B13*$E$21</f>
        <v>40</v>
      </c>
      <c r="C65" s="11" t="n">
        <f aca="false">C13*$E$21</f>
        <v>50</v>
      </c>
      <c r="D65" s="11" t="n">
        <f aca="false">D13*$E$21</f>
        <v>60</v>
      </c>
      <c r="E65" s="11" t="n">
        <f aca="false">E13*$E$21</f>
        <v>56</v>
      </c>
    </row>
    <row r="66" customFormat="false" ht="15" hidden="false" customHeight="false" outlineLevel="0" collapsed="false">
      <c r="A66" s="8" t="s">
        <v>47</v>
      </c>
      <c r="B66" s="11" t="n">
        <f aca="false">B14*$E$22</f>
        <v>45</v>
      </c>
      <c r="C66" s="11" t="n">
        <f aca="false">C14*$E$22</f>
        <v>54</v>
      </c>
      <c r="D66" s="11" t="n">
        <f aca="false">D14*$E$22</f>
        <v>60</v>
      </c>
      <c r="E66" s="11" t="n">
        <f aca="false">E14*$E$22</f>
        <v>66</v>
      </c>
    </row>
    <row r="67" customFormat="false" ht="15" hidden="false" customHeight="false" outlineLevel="0" collapsed="false">
      <c r="A67" s="8" t="s">
        <v>48</v>
      </c>
      <c r="B67" s="11" t="n">
        <f aca="false">B15*$E$23</f>
        <v>40</v>
      </c>
      <c r="C67" s="11" t="n">
        <f aca="false">C15*$E$23</f>
        <v>48</v>
      </c>
      <c r="D67" s="11" t="n">
        <f aca="false">D15*$E$23</f>
        <v>60</v>
      </c>
      <c r="E67" s="11" t="n">
        <f aca="false">E15*$E$23</f>
        <v>52</v>
      </c>
    </row>
    <row r="68" customFormat="false" ht="15" hidden="false" customHeight="false" outlineLevel="0" collapsed="false">
      <c r="A68" s="8" t="s">
        <v>54</v>
      </c>
      <c r="B68" s="11" t="n">
        <f aca="false">SUM(B65:B67)</f>
        <v>125</v>
      </c>
      <c r="C68" s="11" t="n">
        <f aca="false">SUM(C65:C67)</f>
        <v>152</v>
      </c>
      <c r="D68" s="11" t="n">
        <f aca="false">SUM(D65:D67)</f>
        <v>180</v>
      </c>
      <c r="E68" s="11" t="n">
        <f aca="false">SUM(E65:E67)</f>
        <v>174</v>
      </c>
    </row>
    <row r="69" customFormat="false" ht="15" hidden="false" customHeight="false" outlineLevel="0" collapsed="false">
      <c r="A69" s="8" t="s">
        <v>50</v>
      </c>
      <c r="B69" s="11" t="n">
        <f aca="false">$F$31</f>
        <v>38</v>
      </c>
      <c r="C69" s="11" t="n">
        <f aca="false">$F$31</f>
        <v>38</v>
      </c>
      <c r="D69" s="11" t="n">
        <f aca="false">$F$31</f>
        <v>38</v>
      </c>
      <c r="E69" s="11" t="n">
        <f aca="false">$F$31</f>
        <v>38</v>
      </c>
    </row>
    <row r="70" customFormat="false" ht="15" hidden="false" customHeight="false" outlineLevel="0" collapsed="false">
      <c r="A70" s="8" t="s">
        <v>51</v>
      </c>
      <c r="B70" s="11" t="n">
        <f aca="false">B68-B69</f>
        <v>87</v>
      </c>
      <c r="C70" s="11" t="n">
        <f aca="false">C68-C69</f>
        <v>114</v>
      </c>
      <c r="D70" s="11" t="n">
        <f aca="false">D68-D69</f>
        <v>142</v>
      </c>
      <c r="E70" s="11" t="n">
        <f aca="false">E68-E69</f>
        <v>136</v>
      </c>
    </row>
    <row r="71" customFormat="false" ht="15" hidden="false" customHeight="false" outlineLevel="0" collapsed="false">
      <c r="A71" s="8" t="s">
        <v>9</v>
      </c>
      <c r="B71" s="11" t="n">
        <f aca="false">B68/B69</f>
        <v>3.28947368421053</v>
      </c>
      <c r="C71" s="11" t="n">
        <f aca="false">C68/C69</f>
        <v>4</v>
      </c>
      <c r="D71" s="11" t="n">
        <f aca="false">D68/D69</f>
        <v>4.73684210526316</v>
      </c>
      <c r="E71" s="11" t="n">
        <f aca="false">E68/E69</f>
        <v>4.57894736842105</v>
      </c>
    </row>
    <row r="74" customFormat="false" ht="15" hidden="false" customHeight="false" outlineLevel="0" collapsed="false">
      <c r="A74" s="9" t="s">
        <v>55</v>
      </c>
      <c r="C74" s="10" t="s">
        <v>56</v>
      </c>
      <c r="D74" s="10"/>
      <c r="E74" s="10"/>
      <c r="F74" s="10"/>
      <c r="G74" s="10"/>
      <c r="H74" s="10"/>
      <c r="I74" s="10"/>
      <c r="J74" s="10"/>
      <c r="K74" s="10"/>
    </row>
    <row r="75" customFormat="false" ht="15" hidden="false" customHeight="false" outlineLevel="0" collapsed="false">
      <c r="A75" s="9" t="s">
        <v>34</v>
      </c>
      <c r="B75" s="9" t="s">
        <v>16</v>
      </c>
      <c r="C75" s="9" t="s">
        <v>17</v>
      </c>
      <c r="D75" s="9" t="s">
        <v>18</v>
      </c>
      <c r="E75" s="9" t="s">
        <v>19</v>
      </c>
      <c r="F75" s="9" t="s">
        <v>57</v>
      </c>
    </row>
    <row r="76" customFormat="false" ht="15" hidden="false" customHeight="false" outlineLevel="0" collapsed="false">
      <c r="A76" s="8" t="s">
        <v>25</v>
      </c>
      <c r="B76" s="11" t="str">
        <f aca="false">IF(B44&gt;1,"OVER","OK")</f>
        <v>OVER</v>
      </c>
      <c r="C76" s="11" t="str">
        <f aca="false">IF(C44&gt;1,"OVER","OK")</f>
        <v>OVER</v>
      </c>
      <c r="D76" s="11" t="str">
        <f aca="false">IF(D44&gt;1,"OVER","OK")</f>
        <v>OVER</v>
      </c>
      <c r="E76" s="11" t="str">
        <f aca="false">IF(E44&gt;1,"OVER","OK")</f>
        <v>OVER</v>
      </c>
    </row>
    <row r="77" customFormat="false" ht="15" hidden="false" customHeight="false" outlineLevel="0" collapsed="false">
      <c r="A77" s="8" t="s">
        <v>26</v>
      </c>
      <c r="B77" s="11" t="str">
        <f aca="false">IF(B53&gt;1,"OVER","OK")</f>
        <v>OVER</v>
      </c>
      <c r="C77" s="11" t="str">
        <f aca="false">IF(C53&gt;1,"OVER","OK")</f>
        <v>OVER</v>
      </c>
      <c r="D77" s="11" t="str">
        <f aca="false">IF(D53&gt;1,"OVER","OK")</f>
        <v>OVER</v>
      </c>
      <c r="E77" s="11" t="str">
        <f aca="false">IF(E53&gt;1,"OVER","OK")</f>
        <v>OVER</v>
      </c>
    </row>
    <row r="78" customFormat="false" ht="15" hidden="false" customHeight="false" outlineLevel="0" collapsed="false">
      <c r="A78" s="8" t="s">
        <v>27</v>
      </c>
      <c r="B78" s="11" t="str">
        <f aca="false">IF(B62&gt;1,"OVER","OK")</f>
        <v>OVER</v>
      </c>
      <c r="C78" s="11" t="str">
        <f aca="false">IF(C62&gt;1,"OVER","OK")</f>
        <v>OVER</v>
      </c>
      <c r="D78" s="11" t="str">
        <f aca="false">IF(D62&gt;1,"OVER","OK")</f>
        <v>OVER</v>
      </c>
      <c r="E78" s="11" t="str">
        <f aca="false">IF(E62&gt;1,"OVER","OK")</f>
        <v>OVER</v>
      </c>
    </row>
    <row r="79" customFormat="false" ht="15" hidden="false" customHeight="false" outlineLevel="0" collapsed="false">
      <c r="A79" s="8" t="s">
        <v>28</v>
      </c>
      <c r="B79" s="11" t="str">
        <f aca="false">IF(B71&gt;1,"OVER","OK")</f>
        <v>OVER</v>
      </c>
      <c r="C79" s="11" t="str">
        <f aca="false">IF(C71&gt;1,"OVER","OK")</f>
        <v>OVER</v>
      </c>
      <c r="D79" s="11" t="str">
        <f aca="false">IF(D71&gt;1,"OVER","OK")</f>
        <v>OVER</v>
      </c>
      <c r="E79" s="11" t="str">
        <f aca="false">IF(E71&gt;1,"OVER","OK")</f>
        <v>OVER</v>
      </c>
    </row>
    <row r="82" customFormat="false" ht="15" hidden="false" customHeight="false" outlineLevel="0" collapsed="false">
      <c r="A82" s="9" t="s">
        <v>58</v>
      </c>
    </row>
    <row r="83" customFormat="false" ht="15" hidden="false" customHeight="false" outlineLevel="0" collapsed="false">
      <c r="A83" s="8" t="s">
        <v>59</v>
      </c>
    </row>
    <row r="84" customFormat="false" ht="15" hidden="false" customHeight="false" outlineLevel="0" collapsed="false">
      <c r="A84" s="8" t="s">
        <v>60</v>
      </c>
    </row>
    <row r="85" customFormat="false" ht="15" hidden="false" customHeight="false" outlineLevel="0" collapsed="false">
      <c r="A85" s="8" t="s">
        <v>61</v>
      </c>
    </row>
    <row r="86" customFormat="false" ht="15" hidden="false" customHeight="false" outlineLevel="0" collapsed="false">
      <c r="A86" s="8" t="s">
        <v>62</v>
      </c>
    </row>
    <row r="87" customFormat="false" ht="15" hidden="false" customHeight="false" outlineLevel="0" collapsed="false">
      <c r="A87" s="8" t="s">
        <v>63</v>
      </c>
    </row>
    <row r="90" customFormat="false" ht="15" hidden="false" customHeight="false" outlineLevel="0" collapsed="false">
      <c r="A90" s="9" t="s">
        <v>64</v>
      </c>
      <c r="C90" s="10" t="s">
        <v>65</v>
      </c>
      <c r="D90" s="10"/>
      <c r="E90" s="10"/>
      <c r="F90" s="10"/>
      <c r="G90" s="10"/>
      <c r="H90" s="10"/>
      <c r="I90" s="10"/>
      <c r="J90" s="10"/>
      <c r="K90" s="10"/>
    </row>
    <row r="92" customFormat="false" ht="15" hidden="false" customHeight="false" outlineLevel="0" collapsed="false">
      <c r="A92" s="8" t="s">
        <v>66</v>
      </c>
      <c r="F92" s="8" t="s">
        <v>67</v>
      </c>
    </row>
    <row r="93" customFormat="false" ht="15" hidden="false" customHeight="false" outlineLevel="0" collapsed="false">
      <c r="A93" s="8" t="s">
        <v>68</v>
      </c>
      <c r="F93" s="8" t="s">
        <v>67</v>
      </c>
    </row>
    <row r="94" customFormat="false" ht="15" hidden="false" customHeight="false" outlineLevel="0" collapsed="false">
      <c r="A94" s="8" t="s">
        <v>69</v>
      </c>
      <c r="F94" s="8" t="s">
        <v>67</v>
      </c>
    </row>
    <row r="95" customFormat="false" ht="15" hidden="false" customHeight="false" outlineLevel="0" collapsed="false">
      <c r="A95" s="8" t="s">
        <v>70</v>
      </c>
      <c r="F95" s="8" t="s">
        <v>67</v>
      </c>
    </row>
    <row r="96" customFormat="false" ht="15" hidden="false" customHeight="false" outlineLevel="0" collapsed="false">
      <c r="A96" s="8" t="s">
        <v>71</v>
      </c>
      <c r="F96" s="8" t="s">
        <v>67</v>
      </c>
    </row>
    <row r="97" customFormat="false" ht="15" hidden="false" customHeight="false" outlineLevel="0" collapsed="false">
      <c r="A97" s="8" t="s">
        <v>72</v>
      </c>
      <c r="F97" s="8" t="s">
        <v>67</v>
      </c>
    </row>
  </sheetData>
  <mergeCells count="18">
    <mergeCell ref="A1:K1"/>
    <mergeCell ref="A2:K2"/>
    <mergeCell ref="A3:K3"/>
    <mergeCell ref="A4:K4"/>
    <mergeCell ref="H6:K6"/>
    <mergeCell ref="M6:O6"/>
    <mergeCell ref="H7:K7"/>
    <mergeCell ref="M7:O7"/>
    <mergeCell ref="H8:K8"/>
    <mergeCell ref="M8:N8"/>
    <mergeCell ref="H9:K9"/>
    <mergeCell ref="M9:N9"/>
    <mergeCell ref="H10:K10"/>
    <mergeCell ref="M10:N10"/>
    <mergeCell ref="C11:K11"/>
    <mergeCell ref="M11:N11"/>
    <mergeCell ref="C74:K74"/>
    <mergeCell ref="C90:K90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