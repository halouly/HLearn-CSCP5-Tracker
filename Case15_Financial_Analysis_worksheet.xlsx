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e 15 - Financial Analysis" sheetId="1" state="visible" r:id="rId3"/>
    <sheet name="Solu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<sst xmlns="http://schemas.openxmlformats.org/spreadsheetml/2006/main" count="122" uniqueCount="53">
  <si>
    <t xml:space="preserve">CASE 15: INVESTMENT &amp; PROFITABILITY ANALYSIS — ROI, PAYBACK, EPS</t>
  </si>
  <si>
    <t xml:space="preserve">Calculation Worksheet</t>
  </si>
  <si>
    <t xml:space="preserve">SCENARIO: Evaluate three capital investment proposals using multiple financial metrics.</t>
  </si>
  <si>
    <t xml:space="preserve">HOW TO USE: Blue cells are given. Green cells are yours to compute. Self-check against the Check Figures panel.</t>
  </si>
  <si>
    <t xml:space="preserve">▸ HOW TO COMPLETE THIS CASE</t>
  </si>
  <si>
    <t xml:space="preserve">CHECK FIGURES</t>
  </si>
  <si>
    <t xml:space="preserve">Objective: Evaluate competing capital investments.</t>
  </si>
  <si>
    <t xml:space="preserve">Self-check targets.</t>
  </si>
  <si>
    <t xml:space="preserve">Your task: Compute ROI, payback period, and benefit-cost ratio for three proposals.</t>
  </si>
  <si>
    <t xml:space="preserve">Project A PI</t>
  </si>
  <si>
    <t xml:space="preserve">Recommend which project(s) to pursue based on the analysis.</t>
  </si>
  <si>
    <t xml:space="preserve">Approach: Rank by ROI and payback; shorter payback and higher ROI preferred.</t>
  </si>
  <si>
    <t xml:space="preserve">Project B PI</t>
  </si>
  <si>
    <t xml:space="preserve">Time: ~25 min   •   Fill the shaded input cells, then check the ANSWER KEY sheet only after you finish.</t>
  </si>
  <si>
    <t xml:space="preserve">Project C PI</t>
  </si>
  <si>
    <t xml:space="preserve">PROJECT DATA</t>
  </si>
  <si>
    <t xml:space="preserve">Project A</t>
  </si>
  <si>
    <t xml:space="preserve">Project B</t>
  </si>
  <si>
    <t xml:space="preserve">Project C</t>
  </si>
  <si>
    <t xml:space="preserve">EPS</t>
  </si>
  <si>
    <t xml:space="preserve">Initial Investment</t>
  </si>
  <si>
    <t xml:space="preserve">Annual Cash Savings (Yr 1-5)</t>
  </si>
  <si>
    <t xml:space="preserve">Project Life (Years)</t>
  </si>
  <si>
    <t xml:space="preserve">Expected Benefits (Total)</t>
  </si>
  <si>
    <t xml:space="preserve">QUESTIONS:</t>
  </si>
  <si>
    <t xml:space="preserve">Q1: Calculate the Payback Period for each project.</t>
  </si>
  <si>
    <t xml:space="preserve">    Formula: Investment / Annual Savings</t>
  </si>
  <si>
    <t xml:space="preserve">    Project A:</t>
  </si>
  <si>
    <t xml:space="preserve">years</t>
  </si>
  <si>
    <t xml:space="preserve">    Project B:</t>
  </si>
  <si>
    <t xml:space="preserve">    Project C:</t>
  </si>
  <si>
    <t xml:space="preserve">Q2: Calculate ROI for each project.</t>
  </si>
  <si>
    <t xml:space="preserve">    Formula: (Benefits - Costs) / Costs × 100%</t>
  </si>
  <si>
    <t xml:space="preserve">%</t>
  </si>
  <si>
    <t xml:space="preserve">Q3: Calculate the Benefit-Cost Ratio for each.</t>
  </si>
  <si>
    <t xml:space="preserve">    Formula: Total Benefits / Total Costs</t>
  </si>
  <si>
    <t xml:space="preserve">Q4: If the company can only fund $800K, which combination maximizes ROI?</t>
  </si>
  <si>
    <t xml:space="preserve">    Answer:</t>
  </si>
  <si>
    <t xml:space="preserve">A + B (uses full $800K; combined benefits $1.1M)</t>
  </si>
  <si>
    <t xml:space="preserve">Q5: Calculate Profitability Index assuming 10% discount rate (PV factors given).</t>
  </si>
  <si>
    <t xml:space="preserve">    PV Factor (5yr @ 10%):</t>
  </si>
  <si>
    <t xml:space="preserve">    Project A PI:</t>
  </si>
  <si>
    <t xml:space="preserve">    Project B PI:</t>
  </si>
  <si>
    <t xml:space="preserve">    Project C PI:</t>
  </si>
  <si>
    <t xml:space="preserve">EPS SCENARIO:</t>
  </si>
  <si>
    <t xml:space="preserve">Company has: Net Income = $2,400,000, Preferred Dividends = $200,000</t>
  </si>
  <si>
    <t xml:space="preserve">Common Shares Outstanding = 1,000,000</t>
  </si>
  <si>
    <t xml:space="preserve">Q6: Calculate current EPS.</t>
  </si>
  <si>
    <t xml:space="preserve">    Formula: (Net Income - Preferred Div) / Shares</t>
  </si>
  <si>
    <t xml:space="preserve">    EPS:</t>
  </si>
  <si>
    <t xml:space="preserve">$ per share</t>
  </si>
  <si>
    <t xml:space="preserve">Solution Key</t>
  </si>
  <si>
    <t xml:space="preserve">SOLUTION: green cells show worked answers; blue cells are the given inputs.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</si>
</sst>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563EB"/>
        <bgColor rgb="FF0066CC"/>
      </patternFill>
    </fill>
    <fill>
      <patternFill patternType="solid">
        <fgColor rgb="FFF0FDF4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D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5"/>
    <col collapsed="false" customWidth="true" hidden="false" outlineLevel="0" max="6" min="6" style="0" width="20"/>
    <col collapsed="false" customWidth="true" hidden="false" outlineLevel="0" max="11" min="11" style="0" width="24"/>
    <col collapsed="false" customWidth="true" hidden="false" outlineLevel="0" max="13" min="13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1" t="s">
        <v>1</v>
      </c>
      <c r="B2" s="1"/>
      <c r="C2" s="1"/>
      <c r="D2" s="1"/>
      <c r="E2" s="1"/>
      <c r="F2" s="1"/>
      <c r="G2" s="1"/>
      <c r="H2" s="1"/>
      <c r="I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</row>
    <row r="4" customFormat="false" ht="15" hidden="false" customHeight="true" outlineLevel="0" collapsed="false">
      <c r="A4" s="3" t="s">
        <v>3</v>
      </c>
      <c r="B4" s="3"/>
      <c r="C4" s="3"/>
      <c r="D4" s="3"/>
      <c r="E4" s="3"/>
      <c r="F4" s="3"/>
      <c r="G4" s="3"/>
      <c r="H4" s="3"/>
      <c r="I4" s="3"/>
    </row>
    <row r="6" customFormat="false" ht="15" hidden="false" customHeight="false" outlineLevel="0" collapsed="false">
      <c r="F6" s="1" t="s">
        <v>4</v>
      </c>
      <c r="G6" s="1"/>
      <c r="H6" s="1"/>
      <c r="I6" s="1"/>
      <c r="K6" s="1" t="s">
        <v>5</v>
      </c>
      <c r="L6" s="1"/>
      <c r="M6" s="1"/>
    </row>
    <row r="7" customFormat="false" ht="15" hidden="false" customHeight="true" outlineLevel="0" collapsed="false">
      <c r="F7" s="4" t="s">
        <v>6</v>
      </c>
      <c r="G7" s="4"/>
      <c r="H7" s="4"/>
      <c r="I7" s="4"/>
      <c r="K7" s="5" t="s">
        <v>7</v>
      </c>
      <c r="L7" s="5"/>
      <c r="M7" s="5"/>
    </row>
    <row r="8" customFormat="false" ht="23.85" hidden="false" customHeight="true" outlineLevel="0" collapsed="false">
      <c r="F8" s="4" t="s">
        <v>8</v>
      </c>
      <c r="G8" s="4"/>
      <c r="H8" s="4"/>
      <c r="I8" s="4"/>
      <c r="K8" s="6" t="s">
        <v>9</v>
      </c>
      <c r="L8" s="6"/>
      <c r="M8" s="7" t="n">
        <v>0.9477</v>
      </c>
    </row>
    <row r="9" customFormat="false" ht="23.85" hidden="false" customHeight="true" outlineLevel="0" collapsed="false">
      <c r="A9" s="8" t="s">
        <v>10</v>
      </c>
      <c r="F9" s="4" t="s">
        <v>11</v>
      </c>
      <c r="G9" s="4"/>
      <c r="H9" s="4"/>
      <c r="I9" s="4"/>
      <c r="K9" s="6" t="s">
        <v>12</v>
      </c>
      <c r="L9" s="6"/>
      <c r="M9" s="7" t="n">
        <v>1.0741</v>
      </c>
    </row>
    <row r="10" customFormat="false" ht="23.85" hidden="false" customHeight="true" outlineLevel="0" collapsed="false">
      <c r="F10" s="4" t="s">
        <v>13</v>
      </c>
      <c r="G10" s="4"/>
      <c r="H10" s="4"/>
      <c r="I10" s="4"/>
      <c r="K10" s="6" t="s">
        <v>14</v>
      </c>
      <c r="L10" s="6"/>
      <c r="M10" s="7" t="n">
        <v>1.0109</v>
      </c>
    </row>
    <row r="11" customFormat="false" ht="15" hidden="false" customHeight="false" outlineLevel="0" collapsed="false">
      <c r="A11" s="8" t="s">
        <v>15</v>
      </c>
      <c r="B11" s="8" t="s">
        <v>16</v>
      </c>
      <c r="C11" s="8" t="s">
        <v>17</v>
      </c>
      <c r="D11" s="8" t="s">
        <v>18</v>
      </c>
      <c r="K11" s="6" t="s">
        <v>19</v>
      </c>
      <c r="L11" s="6"/>
      <c r="M11" s="7" t="n">
        <v>2.2</v>
      </c>
    </row>
    <row r="12" customFormat="false" ht="15" hidden="false" customHeight="false" outlineLevel="0" collapsed="false">
      <c r="A12" s="8" t="s">
        <v>20</v>
      </c>
      <c r="B12" s="8" t="n">
        <v>500000</v>
      </c>
      <c r="C12" s="8" t="n">
        <v>300000</v>
      </c>
      <c r="D12" s="8" t="n">
        <v>750000</v>
      </c>
    </row>
    <row r="13" customFormat="false" ht="15" hidden="false" customHeight="false" outlineLevel="0" collapsed="false">
      <c r="A13" s="8" t="s">
        <v>21</v>
      </c>
      <c r="B13" s="8" t="n">
        <v>125000</v>
      </c>
      <c r="C13" s="8" t="n">
        <v>85000</v>
      </c>
      <c r="D13" s="8" t="n">
        <v>200000</v>
      </c>
    </row>
    <row r="14" customFormat="false" ht="15" hidden="false" customHeight="false" outlineLevel="0" collapsed="false">
      <c r="A14" s="8" t="s">
        <v>22</v>
      </c>
      <c r="B14" s="8" t="n">
        <v>5</v>
      </c>
      <c r="C14" s="8" t="n">
        <v>5</v>
      </c>
      <c r="D14" s="8" t="n">
        <v>5</v>
      </c>
    </row>
    <row r="15" customFormat="false" ht="15" hidden="false" customHeight="false" outlineLevel="0" collapsed="false">
      <c r="A15" s="8" t="s">
        <v>23</v>
      </c>
      <c r="B15" s="8" t="n">
        <v>700000</v>
      </c>
      <c r="C15" s="8" t="n">
        <v>400000</v>
      </c>
      <c r="D15" s="8" t="n">
        <v>1100000</v>
      </c>
    </row>
    <row r="17" customFormat="false" ht="15" hidden="false" customHeight="false" outlineLevel="0" collapsed="false">
      <c r="A17" s="8" t="s">
        <v>24</v>
      </c>
    </row>
    <row r="19" customFormat="false" ht="15" hidden="false" customHeight="false" outlineLevel="0" collapsed="false">
      <c r="A19" s="8" t="s">
        <v>25</v>
      </c>
    </row>
    <row r="20" customFormat="false" ht="15" hidden="false" customHeight="false" outlineLevel="0" collapsed="false">
      <c r="A20" s="8" t="s">
        <v>26</v>
      </c>
    </row>
    <row r="21" customFormat="false" ht="15" hidden="false" customHeight="false" outlineLevel="0" collapsed="false">
      <c r="A21" s="8" t="s">
        <v>27</v>
      </c>
      <c r="B21" s="9"/>
      <c r="C21" s="8" t="s">
        <v>28</v>
      </c>
    </row>
    <row r="22" customFormat="false" ht="15" hidden="false" customHeight="false" outlineLevel="0" collapsed="false">
      <c r="A22" s="8" t="s">
        <v>29</v>
      </c>
      <c r="B22" s="9"/>
      <c r="C22" s="8" t="s">
        <v>28</v>
      </c>
    </row>
    <row r="23" customFormat="false" ht="15" hidden="false" customHeight="false" outlineLevel="0" collapsed="false">
      <c r="A23" s="8" t="s">
        <v>30</v>
      </c>
      <c r="B23" s="9"/>
      <c r="C23" s="8" t="s">
        <v>28</v>
      </c>
    </row>
    <row r="25" customFormat="false" ht="15" hidden="false" customHeight="false" outlineLevel="0" collapsed="false">
      <c r="A25" s="8" t="s">
        <v>31</v>
      </c>
    </row>
    <row r="26" customFormat="false" ht="15" hidden="false" customHeight="false" outlineLevel="0" collapsed="false">
      <c r="A26" s="8" t="s">
        <v>32</v>
      </c>
    </row>
    <row r="27" customFormat="false" ht="15" hidden="false" customHeight="false" outlineLevel="0" collapsed="false">
      <c r="A27" s="8" t="s">
        <v>27</v>
      </c>
      <c r="B27" s="10"/>
      <c r="C27" s="8" t="s">
        <v>33</v>
      </c>
    </row>
    <row r="28" customFormat="false" ht="15" hidden="false" customHeight="false" outlineLevel="0" collapsed="false">
      <c r="A28" s="8" t="s">
        <v>29</v>
      </c>
      <c r="B28" s="10"/>
      <c r="C28" s="8" t="s">
        <v>33</v>
      </c>
    </row>
    <row r="29" customFormat="false" ht="15" hidden="false" customHeight="false" outlineLevel="0" collapsed="false">
      <c r="A29" s="8" t="s">
        <v>30</v>
      </c>
      <c r="B29" s="10"/>
      <c r="C29" s="8" t="s">
        <v>33</v>
      </c>
    </row>
    <row r="31" customFormat="false" ht="15" hidden="false" customHeight="false" outlineLevel="0" collapsed="false">
      <c r="A31" s="8" t="s">
        <v>34</v>
      </c>
    </row>
    <row r="32" customFormat="false" ht="15" hidden="false" customHeight="false" outlineLevel="0" collapsed="false">
      <c r="A32" s="8" t="s">
        <v>35</v>
      </c>
    </row>
    <row r="33" customFormat="false" ht="15" hidden="false" customHeight="false" outlineLevel="0" collapsed="false">
      <c r="A33" s="8" t="s">
        <v>27</v>
      </c>
      <c r="B33" s="9"/>
    </row>
    <row r="34" customFormat="false" ht="15" hidden="false" customHeight="false" outlineLevel="0" collapsed="false">
      <c r="A34" s="8" t="s">
        <v>29</v>
      </c>
      <c r="B34" s="9"/>
    </row>
    <row r="35" customFormat="false" ht="15" hidden="false" customHeight="false" outlineLevel="0" collapsed="false">
      <c r="A35" s="8" t="s">
        <v>30</v>
      </c>
      <c r="B35" s="9"/>
    </row>
    <row r="37" customFormat="false" ht="15" hidden="false" customHeight="false" outlineLevel="0" collapsed="false">
      <c r="A37" s="8" t="s">
        <v>36</v>
      </c>
    </row>
    <row r="38" customFormat="false" ht="15" hidden="false" customHeight="false" outlineLevel="0" collapsed="false">
      <c r="A38" s="8" t="s">
        <v>37</v>
      </c>
      <c r="B38" s="8" t="s">
        <v>38</v>
      </c>
    </row>
    <row r="40" customFormat="false" ht="15" hidden="false" customHeight="false" outlineLevel="0" collapsed="false">
      <c r="A40" s="8" t="s">
        <v>39</v>
      </c>
    </row>
    <row r="41" customFormat="false" ht="15" hidden="false" customHeight="false" outlineLevel="0" collapsed="false">
      <c r="A41" s="8" t="s">
        <v>40</v>
      </c>
      <c r="B41" s="8" t="n">
        <v>3.791</v>
      </c>
    </row>
    <row r="42" customFormat="false" ht="15" hidden="false" customHeight="false" outlineLevel="0" collapsed="false">
      <c r="A42" s="8" t="s">
        <v>41</v>
      </c>
      <c r="B42" s="9"/>
    </row>
    <row r="43" customFormat="false" ht="15" hidden="false" customHeight="false" outlineLevel="0" collapsed="false">
      <c r="A43" s="8" t="s">
        <v>42</v>
      </c>
      <c r="B43" s="9"/>
    </row>
    <row r="44" customFormat="false" ht="15" hidden="false" customHeight="false" outlineLevel="0" collapsed="false">
      <c r="A44" s="8" t="s">
        <v>43</v>
      </c>
      <c r="B44" s="9"/>
    </row>
    <row r="46" customFormat="false" ht="15" hidden="false" customHeight="false" outlineLevel="0" collapsed="false">
      <c r="A46" s="8" t="s">
        <v>44</v>
      </c>
    </row>
    <row r="47" customFormat="false" ht="15" hidden="false" customHeight="false" outlineLevel="0" collapsed="false">
      <c r="A47" s="8" t="s">
        <v>45</v>
      </c>
    </row>
    <row r="48" customFormat="false" ht="15" hidden="false" customHeight="false" outlineLevel="0" collapsed="false">
      <c r="A48" s="8" t="s">
        <v>46</v>
      </c>
    </row>
    <row r="50" customFormat="false" ht="15" hidden="false" customHeight="false" outlineLevel="0" collapsed="false">
      <c r="A50" s="8" t="s">
        <v>47</v>
      </c>
    </row>
    <row r="51" customFormat="false" ht="15" hidden="false" customHeight="false" outlineLevel="0" collapsed="false">
      <c r="A51" s="8" t="s">
        <v>48</v>
      </c>
    </row>
    <row r="52" customFormat="false" ht="15" hidden="false" customHeight="false" outlineLevel="0" collapsed="false">
      <c r="A52" s="8" t="s">
        <v>49</v>
      </c>
      <c r="B52" s="9"/>
      <c r="C52" s="8" t="s">
        <v>50</v>
      </c>
    </row>
  </sheetData>
  <mergeCells count="15">
    <mergeCell ref="A1:I1"/>
    <mergeCell ref="A2:I2"/>
    <mergeCell ref="A3:I3"/>
    <mergeCell ref="A4:I4"/>
    <mergeCell ref="F6:I6"/>
    <mergeCell ref="K6:M6"/>
    <mergeCell ref="F7:I7"/>
    <mergeCell ref="K7:M7"/>
    <mergeCell ref="F8:I8"/>
    <mergeCell ref="K8:L8"/>
    <mergeCell ref="F9:I9"/>
    <mergeCell ref="K9:L9"/>
    <mergeCell ref="F10:I10"/>
    <mergeCell ref="K10:L10"/>
    <mergeCell ref="K11:L11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5"/>
    <col collapsed="false" customWidth="true" hidden="false" outlineLevel="0" max="6" min="6" style="0" width="20"/>
    <col collapsed="false" customWidth="true" hidden="false" outlineLevel="0" max="11" min="11" style="0" width="24"/>
    <col collapsed="false" customWidth="true" hidden="false" outlineLevel="0" max="13" min="13" style="0" width="12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1" t="s">
        <v>51</v>
      </c>
      <c r="B2" s="1"/>
      <c r="C2" s="1"/>
      <c r="D2" s="1"/>
      <c r="E2" s="1"/>
      <c r="F2" s="1"/>
      <c r="G2" s="1"/>
      <c r="H2" s="1"/>
      <c r="I2" s="1"/>
    </row>
    <row r="3" customFormat="false" ht="15" hidden="false" customHeight="true" outlineLevel="0" collapsed="false">
      <c r="A3" s="2" t="s">
        <v>2</v>
      </c>
      <c r="B3" s="2"/>
      <c r="C3" s="2"/>
      <c r="D3" s="2"/>
      <c r="E3" s="2"/>
      <c r="F3" s="2"/>
      <c r="G3" s="2"/>
      <c r="H3" s="2"/>
      <c r="I3" s="2"/>
    </row>
    <row r="4" customFormat="false" ht="15" hidden="false" customHeight="true" outlineLevel="0" collapsed="false">
      <c r="A4" s="3" t="s">
        <v>52</v>
      </c>
      <c r="B4" s="3"/>
      <c r="C4" s="3"/>
      <c r="D4" s="3"/>
      <c r="E4" s="3"/>
      <c r="F4" s="3"/>
      <c r="G4" s="3"/>
      <c r="H4" s="3"/>
      <c r="I4" s="3"/>
    </row>
    <row r="6" customFormat="false" ht="15" hidden="false" customHeight="false" outlineLevel="0" collapsed="false">
      <c r="F6" s="1" t="s">
        <v>4</v>
      </c>
      <c r="G6" s="1"/>
      <c r="H6" s="1"/>
      <c r="I6" s="1"/>
      <c r="K6" s="1" t="s">
        <v>5</v>
      </c>
      <c r="L6" s="1"/>
      <c r="M6" s="1"/>
    </row>
    <row r="7" customFormat="false" ht="15" hidden="false" customHeight="true" outlineLevel="0" collapsed="false">
      <c r="F7" s="4" t="s">
        <v>6</v>
      </c>
      <c r="G7" s="4"/>
      <c r="H7" s="4"/>
      <c r="I7" s="4"/>
      <c r="K7" s="5" t="s">
        <v>7</v>
      </c>
      <c r="L7" s="5"/>
      <c r="M7" s="5"/>
    </row>
    <row r="8" customFormat="false" ht="23.85" hidden="false" customHeight="true" outlineLevel="0" collapsed="false">
      <c r="F8" s="4" t="s">
        <v>8</v>
      </c>
      <c r="G8" s="4"/>
      <c r="H8" s="4"/>
      <c r="I8" s="4"/>
      <c r="K8" s="6" t="s">
        <v>9</v>
      </c>
      <c r="L8" s="6"/>
      <c r="M8" s="7" t="n">
        <v>0.9477</v>
      </c>
    </row>
    <row r="9" customFormat="false" ht="23.85" hidden="false" customHeight="true" outlineLevel="0" collapsed="false">
      <c r="A9" s="8" t="s">
        <v>10</v>
      </c>
      <c r="F9" s="4" t="s">
        <v>11</v>
      </c>
      <c r="G9" s="4"/>
      <c r="H9" s="4"/>
      <c r="I9" s="4"/>
      <c r="K9" s="6" t="s">
        <v>12</v>
      </c>
      <c r="L9" s="6"/>
      <c r="M9" s="7" t="n">
        <v>1.0741</v>
      </c>
    </row>
    <row r="10" customFormat="false" ht="23.85" hidden="false" customHeight="true" outlineLevel="0" collapsed="false">
      <c r="F10" s="4" t="s">
        <v>13</v>
      </c>
      <c r="G10" s="4"/>
      <c r="H10" s="4"/>
      <c r="I10" s="4"/>
      <c r="K10" s="6" t="s">
        <v>14</v>
      </c>
      <c r="L10" s="6"/>
      <c r="M10" s="7" t="n">
        <v>1.0109</v>
      </c>
    </row>
    <row r="11" customFormat="false" ht="15" hidden="false" customHeight="false" outlineLevel="0" collapsed="false">
      <c r="A11" s="8" t="s">
        <v>15</v>
      </c>
      <c r="B11" s="8" t="s">
        <v>16</v>
      </c>
      <c r="C11" s="8" t="s">
        <v>17</v>
      </c>
      <c r="D11" s="8" t="s">
        <v>18</v>
      </c>
      <c r="K11" s="6" t="s">
        <v>19</v>
      </c>
      <c r="L11" s="6"/>
      <c r="M11" s="7" t="n">
        <v>2.2</v>
      </c>
    </row>
    <row r="12" customFormat="false" ht="15" hidden="false" customHeight="false" outlineLevel="0" collapsed="false">
      <c r="A12" s="8" t="s">
        <v>20</v>
      </c>
      <c r="B12" s="8" t="n">
        <v>500000</v>
      </c>
      <c r="C12" s="8" t="n">
        <v>300000</v>
      </c>
      <c r="D12" s="8" t="n">
        <v>750000</v>
      </c>
    </row>
    <row r="13" customFormat="false" ht="15" hidden="false" customHeight="false" outlineLevel="0" collapsed="false">
      <c r="A13" s="8" t="s">
        <v>21</v>
      </c>
      <c r="B13" s="8" t="n">
        <v>125000</v>
      </c>
      <c r="C13" s="8" t="n">
        <v>85000</v>
      </c>
      <c r="D13" s="8" t="n">
        <v>200000</v>
      </c>
    </row>
    <row r="14" customFormat="false" ht="15" hidden="false" customHeight="false" outlineLevel="0" collapsed="false">
      <c r="A14" s="8" t="s">
        <v>22</v>
      </c>
      <c r="B14" s="8" t="n">
        <v>5</v>
      </c>
      <c r="C14" s="8" t="n">
        <v>5</v>
      </c>
      <c r="D14" s="8" t="n">
        <v>5</v>
      </c>
    </row>
    <row r="15" customFormat="false" ht="15" hidden="false" customHeight="false" outlineLevel="0" collapsed="false">
      <c r="A15" s="8" t="s">
        <v>23</v>
      </c>
      <c r="B15" s="8" t="n">
        <v>700000</v>
      </c>
      <c r="C15" s="8" t="n">
        <v>400000</v>
      </c>
      <c r="D15" s="8" t="n">
        <v>1100000</v>
      </c>
    </row>
    <row r="17" customFormat="false" ht="15" hidden="false" customHeight="false" outlineLevel="0" collapsed="false">
      <c r="A17" s="8" t="s">
        <v>24</v>
      </c>
    </row>
    <row r="19" customFormat="false" ht="15" hidden="false" customHeight="false" outlineLevel="0" collapsed="false">
      <c r="A19" s="8" t="s">
        <v>25</v>
      </c>
    </row>
    <row r="20" customFormat="false" ht="15" hidden="false" customHeight="false" outlineLevel="0" collapsed="false">
      <c r="A20" s="8" t="s">
        <v>26</v>
      </c>
    </row>
    <row r="21" customFormat="false" ht="15" hidden="false" customHeight="false" outlineLevel="0" collapsed="false">
      <c r="A21" s="8" t="s">
        <v>27</v>
      </c>
      <c r="B21" s="9" t="n">
        <f aca="false">B12/B13</f>
        <v>4</v>
      </c>
      <c r="C21" s="8" t="s">
        <v>28</v>
      </c>
    </row>
    <row r="22" customFormat="false" ht="15" hidden="false" customHeight="false" outlineLevel="0" collapsed="false">
      <c r="A22" s="8" t="s">
        <v>29</v>
      </c>
      <c r="B22" s="9" t="n">
        <f aca="false">C12/C13</f>
        <v>3.52941176470588</v>
      </c>
      <c r="C22" s="8" t="s">
        <v>28</v>
      </c>
    </row>
    <row r="23" customFormat="false" ht="15" hidden="false" customHeight="false" outlineLevel="0" collapsed="false">
      <c r="A23" s="8" t="s">
        <v>30</v>
      </c>
      <c r="B23" s="9" t="n">
        <f aca="false">D12/D13</f>
        <v>3.75</v>
      </c>
      <c r="C23" s="8" t="s">
        <v>28</v>
      </c>
    </row>
    <row r="25" customFormat="false" ht="15" hidden="false" customHeight="false" outlineLevel="0" collapsed="false">
      <c r="A25" s="8" t="s">
        <v>31</v>
      </c>
    </row>
    <row r="26" customFormat="false" ht="15" hidden="false" customHeight="false" outlineLevel="0" collapsed="false">
      <c r="A26" s="8" t="s">
        <v>32</v>
      </c>
    </row>
    <row r="27" customFormat="false" ht="15" hidden="false" customHeight="false" outlineLevel="0" collapsed="false">
      <c r="A27" s="8" t="s">
        <v>27</v>
      </c>
      <c r="B27" s="10" t="n">
        <f aca="false">(B15-B12)/B12</f>
        <v>0.4</v>
      </c>
      <c r="C27" s="8" t="s">
        <v>33</v>
      </c>
    </row>
    <row r="28" customFormat="false" ht="15" hidden="false" customHeight="false" outlineLevel="0" collapsed="false">
      <c r="A28" s="8" t="s">
        <v>29</v>
      </c>
      <c r="B28" s="10" t="n">
        <f aca="false">(C15-C12)/C12</f>
        <v>0.333333333333333</v>
      </c>
      <c r="C28" s="8" t="s">
        <v>33</v>
      </c>
    </row>
    <row r="29" customFormat="false" ht="15" hidden="false" customHeight="false" outlineLevel="0" collapsed="false">
      <c r="A29" s="8" t="s">
        <v>30</v>
      </c>
      <c r="B29" s="10" t="n">
        <f aca="false">(D15-D12)/D12</f>
        <v>0.466666666666667</v>
      </c>
      <c r="C29" s="8" t="s">
        <v>33</v>
      </c>
    </row>
    <row r="31" customFormat="false" ht="15" hidden="false" customHeight="false" outlineLevel="0" collapsed="false">
      <c r="A31" s="8" t="s">
        <v>34</v>
      </c>
    </row>
    <row r="32" customFormat="false" ht="15" hidden="false" customHeight="false" outlineLevel="0" collapsed="false">
      <c r="A32" s="8" t="s">
        <v>35</v>
      </c>
    </row>
    <row r="33" customFormat="false" ht="15" hidden="false" customHeight="false" outlineLevel="0" collapsed="false">
      <c r="A33" s="8" t="s">
        <v>27</v>
      </c>
      <c r="B33" s="9" t="n">
        <f aca="false">B15/B12</f>
        <v>1.4</v>
      </c>
    </row>
    <row r="34" customFormat="false" ht="15" hidden="false" customHeight="false" outlineLevel="0" collapsed="false">
      <c r="A34" s="8" t="s">
        <v>29</v>
      </c>
      <c r="B34" s="9" t="n">
        <f aca="false">C15/C12</f>
        <v>1.33333333333333</v>
      </c>
    </row>
    <row r="35" customFormat="false" ht="15" hidden="false" customHeight="false" outlineLevel="0" collapsed="false">
      <c r="A35" s="8" t="s">
        <v>30</v>
      </c>
      <c r="B35" s="9" t="n">
        <f aca="false">D15/D12</f>
        <v>1.46666666666667</v>
      </c>
    </row>
    <row r="37" customFormat="false" ht="15" hidden="false" customHeight="false" outlineLevel="0" collapsed="false">
      <c r="A37" s="8" t="s">
        <v>36</v>
      </c>
    </row>
    <row r="38" customFormat="false" ht="15" hidden="false" customHeight="false" outlineLevel="0" collapsed="false">
      <c r="A38" s="8" t="s">
        <v>37</v>
      </c>
      <c r="B38" s="8" t="s">
        <v>38</v>
      </c>
    </row>
    <row r="40" customFormat="false" ht="15" hidden="false" customHeight="false" outlineLevel="0" collapsed="false">
      <c r="A40" s="8" t="s">
        <v>39</v>
      </c>
    </row>
    <row r="41" customFormat="false" ht="15" hidden="false" customHeight="false" outlineLevel="0" collapsed="false">
      <c r="A41" s="8" t="s">
        <v>40</v>
      </c>
      <c r="B41" s="8" t="n">
        <v>3.791</v>
      </c>
    </row>
    <row r="42" customFormat="false" ht="15" hidden="false" customHeight="false" outlineLevel="0" collapsed="false">
      <c r="A42" s="8" t="s">
        <v>41</v>
      </c>
      <c r="B42" s="9" t="n">
        <f aca="false">B13*B41/B12</f>
        <v>0.94775</v>
      </c>
    </row>
    <row r="43" customFormat="false" ht="15" hidden="false" customHeight="false" outlineLevel="0" collapsed="false">
      <c r="A43" s="8" t="s">
        <v>42</v>
      </c>
      <c r="B43" s="9" t="n">
        <f aca="false">C13*B41/C12</f>
        <v>1.07411666666667</v>
      </c>
    </row>
    <row r="44" customFormat="false" ht="15" hidden="false" customHeight="false" outlineLevel="0" collapsed="false">
      <c r="A44" s="8" t="s">
        <v>43</v>
      </c>
      <c r="B44" s="9" t="n">
        <f aca="false">D13*B41/D12</f>
        <v>1.01093333333333</v>
      </c>
    </row>
    <row r="46" customFormat="false" ht="15" hidden="false" customHeight="false" outlineLevel="0" collapsed="false">
      <c r="A46" s="8" t="s">
        <v>44</v>
      </c>
    </row>
    <row r="47" customFormat="false" ht="15" hidden="false" customHeight="false" outlineLevel="0" collapsed="false">
      <c r="A47" s="8" t="s">
        <v>45</v>
      </c>
    </row>
    <row r="48" customFormat="false" ht="15" hidden="false" customHeight="false" outlineLevel="0" collapsed="false">
      <c r="A48" s="8" t="s">
        <v>46</v>
      </c>
    </row>
    <row r="50" customFormat="false" ht="15" hidden="false" customHeight="false" outlineLevel="0" collapsed="false">
      <c r="A50" s="8" t="s">
        <v>47</v>
      </c>
    </row>
    <row r="51" customFormat="false" ht="15" hidden="false" customHeight="false" outlineLevel="0" collapsed="false">
      <c r="A51" s="8" t="s">
        <v>48</v>
      </c>
    </row>
    <row r="52" customFormat="false" ht="15" hidden="false" customHeight="false" outlineLevel="0" collapsed="false">
      <c r="A52" s="8" t="s">
        <v>49</v>
      </c>
      <c r="B52" s="9" t="n">
        <f aca="false">(2400000-200000)/1000000</f>
        <v>2.2</v>
      </c>
      <c r="C52" s="8" t="s">
        <v>50</v>
      </c>
    </row>
  </sheetData>
  <mergeCells count="15">
    <mergeCell ref="A1:I1"/>
    <mergeCell ref="A2:I2"/>
    <mergeCell ref="A3:I3"/>
    <mergeCell ref="A4:I4"/>
    <mergeCell ref="F6:I6"/>
    <mergeCell ref="K6:M6"/>
    <mergeCell ref="F7:I7"/>
    <mergeCell ref="K7:M7"/>
    <mergeCell ref="F8:I8"/>
    <mergeCell ref="K8:L8"/>
    <mergeCell ref="F9:I9"/>
    <mergeCell ref="K9:L9"/>
    <mergeCell ref="F10:I10"/>
    <mergeCell ref="K10:L10"/>
    <mergeCell ref="K11:L11"/>
  </mergeCells>
  <printOptions headings="false" gridLines="false" gridLinesSet="true" horizontalCentered="fals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2026-07-08T19:17:39Z</dcterms:created>
  <dc:creator>openpyxl</dc:creator>
  <dc:description/>
  <dc:language>en-US</dc:language>
  <cp:lastModifiedBy/>
  <dcterms:modified xsi:type="dcterms:W3CDTF">2026-07-08T19:17:39Z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