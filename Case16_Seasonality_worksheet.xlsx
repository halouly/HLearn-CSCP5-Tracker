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16 - Seasonality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<sst xmlns="http://schemas.openxmlformats.org/spreadsheetml/2006/main" count="102" uniqueCount="53">
  <si>
    <t xml:space="preserve">CASE 16: SEASONAL FORECASTING — INDEX CALCULATION &amp; APPLICATION</t>
  </si>
  <si>
    <t xml:space="preserve">Calculation Worksheet</t>
  </si>
  <si>
    <t xml:space="preserve">SCENARIO: A company sells outdoor equipment with strong seasonal patterns.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</si>
  <si>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</si>
  <si>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</si>
  <si>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</si>
  <si>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Build seasonal indices and forecast with them.</t>
  </si>
  <si>
    <t xml:space="preserve">Self-check targets.</t>
  </si>
  <si>
    <t xml:space="preserve">Your task: Deseasonalize the history, project the trend, then reapply the indices.</t>
  </si>
  <si>
    <t xml:space="preserve">Q2 Forecast</t>
  </si>
  <si>
    <t xml:space="preserve">Calculate seasonal indices and develop forecasts for next year.</t>
  </si>
  <si>
    <t xml:space="preserve">Approach: Seasonal index = period average ÷ overall average; multiply the base forecast by the index.</t>
  </si>
  <si>
    <t xml:space="preserve">Q3 Forecast</t>
  </si>
  <si>
    <t xml:space="preserve">Time: ~25 min   •   Fill the shaded input cells, then check the ANSWER KEY sheet only after you finish.</t>
  </si>
  <si>
    <t xml:space="preserve">Q4 Forecast</t>
  </si>
  <si>
    <t xml:space="preserve">HISTORICAL DEMAND (Units)</t>
  </si>
  <si>
    <t xml:space="preserve">Total</t>
  </si>
  <si>
    <t xml:space="preserve">Quarter</t>
  </si>
  <si>
    <t xml:space="preserve">Year 1</t>
  </si>
  <si>
    <t xml:space="preserve">Year 2</t>
  </si>
  <si>
    <t xml:space="preserve">Year 3</t>
  </si>
  <si>
    <t xml:space="preserve">Average</t>
  </si>
  <si>
    <t xml:space="preserve">Q1 (Jan-Mar)</t>
  </si>
  <si>
    <t xml:space="preserve">Q2 (Apr-Jun)</t>
  </si>
  <si>
    <t xml:space="preserve">Q3 (Jul-Sep)</t>
  </si>
  <si>
    <t xml:space="preserve">Q4 (Oct-Dec)</t>
  </si>
  <si>
    <t xml:space="preserve">Annual Total</t>
  </si>
  <si>
    <t xml:space="preserve">Q1: Calculate the average demand for each quarter.</t>
  </si>
  <si>
    <t xml:space="preserve">Q2: Calculate the overall quarterly average (annual avg ÷ 4).</t>
  </si>
  <si>
    <t xml:space="preserve">    Overall Quarterly Avg:</t>
  </si>
  <si>
    <t xml:space="preserve">Q3: Calculate the Seasonal Index for each quarter.</t>
  </si>
  <si>
    <t xml:space="preserve">    Formula: Quarter Avg / Overall Quarterly Avg</t>
  </si>
  <si>
    <t xml:space="preserve">    Q1 Index:</t>
  </si>
  <si>
    <t xml:space="preserve">    Q2 Index:</t>
  </si>
  <si>
    <t xml:space="preserve">    Q3 Index:</t>
  </si>
  <si>
    <t xml:space="preserve">    Q4 Index:</t>
  </si>
  <si>
    <t xml:space="preserve">    Sum of Indices:</t>
  </si>
  <si>
    <t xml:space="preserve">(should = 4.00)</t>
  </si>
  <si>
    <t xml:space="preserve">YEAR 4 FORECAST:</t>
  </si>
  <si>
    <t xml:space="preserve">Annual forecast for Year 4 = 6,500 units</t>
  </si>
  <si>
    <t xml:space="preserve">Q4: Calculate deseasonalized quarterly demand.</t>
  </si>
  <si>
    <t xml:space="preserve">    Formula: Annual Forecast ÷ 4</t>
  </si>
  <si>
    <t xml:space="preserve">    Deseasonalized Qtr:</t>
  </si>
  <si>
    <t xml:space="preserve">Q5: Calculate seasonalized forecast for each quarter.</t>
  </si>
  <si>
    <t xml:space="preserve">    Formula: Deseasonalized × Seasonal Index</t>
  </si>
  <si>
    <t xml:space="preserve">    Q1 Forecast:</t>
  </si>
  <si>
    <t xml:space="preserve">    Q2 Forecast:</t>
  </si>
  <si>
    <t xml:space="preserve">    Q3 Forecast:</t>
  </si>
  <si>
    <t xml:space="preserve">    Q4 Forecast:</t>
  </si>
  <si>
    <t xml:space="preserve">    Total:</t>
  </si>
  <si>
    <t xml:space="preserve">(verify = 6,500)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</si>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</sst>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  <col collapsed="false" customWidth="true" hidden="false" outlineLevel="0" max="7" min="7" style="0" width="20"/>
    <col collapsed="false" customWidth="true" hidden="false" outlineLevel="0" max="12" min="12" style="0" width="24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G6" s="1" t="s">
        <v>4</v>
      </c>
      <c r="H6" s="1"/>
      <c r="I6" s="1"/>
      <c r="J6" s="1"/>
      <c r="L6" s="1" t="s">
        <v>5</v>
      </c>
      <c r="M6" s="1"/>
      <c r="N6" s="1"/>
    </row>
    <row r="7" customFormat="false" ht="23.85" hidden="false" customHeight="true" outlineLevel="0" collapsed="false">
      <c r="G7" s="4" t="s">
        <v>6</v>
      </c>
      <c r="H7" s="4"/>
      <c r="I7" s="4"/>
      <c r="J7" s="4"/>
      <c r="L7" s="5" t="s">
        <v>7</v>
      </c>
      <c r="M7" s="5"/>
      <c r="N7" s="5"/>
    </row>
    <row r="8" customFormat="false" ht="23.85" hidden="false" customHeight="true" outlineLevel="0" collapsed="false">
      <c r="G8" s="4" t="s">
        <v>8</v>
      </c>
      <c r="H8" s="4"/>
      <c r="I8" s="4"/>
      <c r="J8" s="4"/>
      <c r="L8" s="6" t="s">
        <v>9</v>
      </c>
      <c r="M8" s="6"/>
      <c r="N8" s="7" t="n">
        <v>1962.2642</v>
      </c>
    </row>
    <row r="9" customFormat="false" ht="23.85" hidden="false" customHeight="true" outlineLevel="0" collapsed="false">
      <c r="A9" s="8" t="s">
        <v>10</v>
      </c>
      <c r="G9" s="4" t="s">
        <v>11</v>
      </c>
      <c r="H9" s="4"/>
      <c r="I9" s="4"/>
      <c r="J9" s="4"/>
      <c r="L9" s="6" t="s">
        <v>12</v>
      </c>
      <c r="M9" s="6"/>
      <c r="N9" s="7" t="n">
        <v>2575.4717</v>
      </c>
    </row>
    <row r="10" customFormat="false" ht="23.85" hidden="false" customHeight="true" outlineLevel="0" collapsed="false">
      <c r="G10" s="4" t="s">
        <v>13</v>
      </c>
      <c r="H10" s="4"/>
      <c r="I10" s="4"/>
      <c r="J10" s="4"/>
      <c r="L10" s="6" t="s">
        <v>14</v>
      </c>
      <c r="M10" s="6"/>
      <c r="N10" s="7" t="n">
        <v>919.8113</v>
      </c>
    </row>
    <row r="11" customFormat="false" ht="15" hidden="false" customHeight="false" outlineLevel="0" collapsed="false">
      <c r="A11" s="8" t="s">
        <v>15</v>
      </c>
      <c r="L11" s="6" t="s">
        <v>16</v>
      </c>
      <c r="M11" s="6"/>
      <c r="N11" s="7" t="n">
        <v>6500</v>
      </c>
    </row>
    <row r="12" customFormat="false" ht="15" hidden="false" customHeight="false" outlineLevel="0" collapsed="false">
      <c r="A12" s="8" t="s">
        <v>17</v>
      </c>
      <c r="B12" s="8" t="s">
        <v>18</v>
      </c>
      <c r="C12" s="8" t="s">
        <v>19</v>
      </c>
      <c r="D12" s="8" t="s">
        <v>20</v>
      </c>
      <c r="E12" s="8" t="s">
        <v>21</v>
      </c>
    </row>
    <row r="13" customFormat="false" ht="15" hidden="false" customHeight="false" outlineLevel="0" collapsed="false">
      <c r="A13" s="8" t="s">
        <v>22</v>
      </c>
      <c r="B13" s="8" t="n">
        <v>800</v>
      </c>
      <c r="C13" s="8" t="n">
        <v>850</v>
      </c>
      <c r="D13" s="8" t="n">
        <v>900</v>
      </c>
      <c r="E13" s="9"/>
    </row>
    <row r="14" customFormat="false" ht="15" hidden="false" customHeight="false" outlineLevel="0" collapsed="false">
      <c r="A14" s="8" t="s">
        <v>23</v>
      </c>
      <c r="B14" s="8" t="n">
        <v>1500</v>
      </c>
      <c r="C14" s="8" t="n">
        <v>1600</v>
      </c>
      <c r="D14" s="8" t="n">
        <v>1700</v>
      </c>
      <c r="E14" s="9"/>
    </row>
    <row r="15" customFormat="false" ht="15" hidden="false" customHeight="false" outlineLevel="0" collapsed="false">
      <c r="A15" s="8" t="s">
        <v>24</v>
      </c>
      <c r="B15" s="8" t="n">
        <v>2000</v>
      </c>
      <c r="C15" s="8" t="n">
        <v>2100</v>
      </c>
      <c r="D15" s="8" t="n">
        <v>2200</v>
      </c>
      <c r="E15" s="9"/>
    </row>
    <row r="16" customFormat="false" ht="15" hidden="false" customHeight="false" outlineLevel="0" collapsed="false">
      <c r="A16" s="8" t="s">
        <v>25</v>
      </c>
      <c r="B16" s="8" t="n">
        <v>700</v>
      </c>
      <c r="C16" s="8" t="n">
        <v>750</v>
      </c>
      <c r="D16" s="8" t="n">
        <v>800</v>
      </c>
      <c r="E16" s="9"/>
    </row>
    <row r="17" customFormat="false" ht="15" hidden="false" customHeight="false" outlineLevel="0" collapsed="false">
      <c r="A17" s="8" t="s">
        <v>26</v>
      </c>
    </row>
    <row r="19" customFormat="false" ht="15" hidden="false" customHeight="false" outlineLevel="0" collapsed="false">
      <c r="A19" s="8" t="s">
        <v>27</v>
      </c>
    </row>
    <row r="21" customFormat="false" ht="15" hidden="false" customHeight="false" outlineLevel="0" collapsed="false">
      <c r="A21" s="8" t="s">
        <v>28</v>
      </c>
    </row>
    <row r="22" customFormat="false" ht="15" hidden="false" customHeight="false" outlineLevel="0" collapsed="false">
      <c r="A22" s="8" t="s">
        <v>29</v>
      </c>
      <c r="B22" s="9"/>
    </row>
    <row r="24" customFormat="false" ht="15" hidden="false" customHeight="false" outlineLevel="0" collapsed="false">
      <c r="A24" s="8" t="s">
        <v>30</v>
      </c>
    </row>
    <row r="25" customFormat="false" ht="15" hidden="false" customHeight="false" outlineLevel="0" collapsed="false">
      <c r="A25" s="8" t="s">
        <v>31</v>
      </c>
    </row>
    <row r="26" customFormat="false" ht="15" hidden="false" customHeight="false" outlineLevel="0" collapsed="false">
      <c r="A26" s="8" t="s">
        <v>32</v>
      </c>
      <c r="B26" s="10"/>
    </row>
    <row r="27" customFormat="false" ht="15" hidden="false" customHeight="false" outlineLevel="0" collapsed="false">
      <c r="A27" s="8" t="s">
        <v>33</v>
      </c>
      <c r="B27" s="10"/>
    </row>
    <row r="28" customFormat="false" ht="15" hidden="false" customHeight="false" outlineLevel="0" collapsed="false">
      <c r="A28" s="8" t="s">
        <v>34</v>
      </c>
      <c r="B28" s="10"/>
    </row>
    <row r="29" customFormat="false" ht="15" hidden="false" customHeight="false" outlineLevel="0" collapsed="false">
      <c r="A29" s="8" t="s">
        <v>35</v>
      </c>
      <c r="B29" s="10"/>
    </row>
    <row r="30" customFormat="false" ht="15" hidden="false" customHeight="false" outlineLevel="0" collapsed="false">
      <c r="A30" s="8" t="s">
        <v>36</v>
      </c>
      <c r="B30" s="10"/>
      <c r="C30" s="8" t="s">
        <v>37</v>
      </c>
    </row>
    <row r="32" customFormat="false" ht="15" hidden="false" customHeight="false" outlineLevel="0" collapsed="false">
      <c r="A32" s="8" t="s">
        <v>38</v>
      </c>
    </row>
    <row r="33" customFormat="false" ht="15" hidden="false" customHeight="false" outlineLevel="0" collapsed="false">
      <c r="A33" s="8" t="s">
        <v>39</v>
      </c>
    </row>
    <row r="35" customFormat="false" ht="15" hidden="false" customHeight="false" outlineLevel="0" collapsed="false">
      <c r="A35" s="8" t="s">
        <v>40</v>
      </c>
    </row>
    <row r="36" customFormat="false" ht="15" hidden="false" customHeight="false" outlineLevel="0" collapsed="false">
      <c r="A36" s="8" t="s">
        <v>41</v>
      </c>
    </row>
    <row r="37" customFormat="false" ht="15" hidden="false" customHeight="false" outlineLevel="0" collapsed="false">
      <c r="A37" s="8" t="s">
        <v>42</v>
      </c>
      <c r="B37" s="9"/>
    </row>
    <row r="39" customFormat="false" ht="15" hidden="false" customHeight="false" outlineLevel="0" collapsed="false">
      <c r="A39" s="8" t="s">
        <v>43</v>
      </c>
    </row>
    <row r="40" customFormat="false" ht="15" hidden="false" customHeight="false" outlineLevel="0" collapsed="false">
      <c r="A40" s="8" t="s">
        <v>44</v>
      </c>
    </row>
    <row r="41" customFormat="false" ht="15" hidden="false" customHeight="false" outlineLevel="0" collapsed="false">
      <c r="A41" s="8" t="s">
        <v>45</v>
      </c>
      <c r="B41" s="9"/>
    </row>
    <row r="42" customFormat="false" ht="15" hidden="false" customHeight="false" outlineLevel="0" collapsed="false">
      <c r="A42" s="8" t="s">
        <v>46</v>
      </c>
      <c r="B42" s="9"/>
    </row>
    <row r="43" customFormat="false" ht="15" hidden="false" customHeight="false" outlineLevel="0" collapsed="false">
      <c r="A43" s="8" t="s">
        <v>47</v>
      </c>
      <c r="B43" s="9"/>
    </row>
    <row r="44" customFormat="false" ht="15" hidden="false" customHeight="false" outlineLevel="0" collapsed="false">
      <c r="A44" s="8" t="s">
        <v>48</v>
      </c>
      <c r="B44" s="9"/>
    </row>
    <row r="45" customFormat="false" ht="15" hidden="false" customHeight="false" outlineLevel="0" collapsed="false">
      <c r="A45" s="8" t="s">
        <v>49</v>
      </c>
      <c r="B45" s="9"/>
      <c r="C45" s="8" t="s">
        <v>50</v>
      </c>
    </row>
  </sheetData>
  <mergeCells count="15">
    <mergeCell ref="A1:J1"/>
    <mergeCell ref="A2:J2"/>
    <mergeCell ref="A3:J3"/>
    <mergeCell ref="A4:J4"/>
    <mergeCell ref="G6:J6"/>
    <mergeCell ref="L6:N6"/>
    <mergeCell ref="G7:J7"/>
    <mergeCell ref="L7:N7"/>
    <mergeCell ref="G8:J8"/>
    <mergeCell ref="L8:M8"/>
    <mergeCell ref="G9:J9"/>
    <mergeCell ref="L9:M9"/>
    <mergeCell ref="G10:J10"/>
    <mergeCell ref="L10:M10"/>
    <mergeCell ref="L11:M11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  <col collapsed="false" customWidth="true" hidden="false" outlineLevel="0" max="7" min="7" style="0" width="20"/>
    <col collapsed="false" customWidth="true" hidden="false" outlineLevel="0" max="12" min="12" style="0" width="24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" t="s">
        <v>51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true" outlineLevel="0" collapsed="false">
      <c r="A4" s="3" t="s">
        <v>52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G6" s="1" t="s">
        <v>4</v>
      </c>
      <c r="H6" s="1"/>
      <c r="I6" s="1"/>
      <c r="J6" s="1"/>
      <c r="L6" s="1" t="s">
        <v>5</v>
      </c>
      <c r="M6" s="1"/>
      <c r="N6" s="1"/>
    </row>
    <row r="7" customFormat="false" ht="23.85" hidden="false" customHeight="true" outlineLevel="0" collapsed="false">
      <c r="G7" s="4" t="s">
        <v>6</v>
      </c>
      <c r="H7" s="4"/>
      <c r="I7" s="4"/>
      <c r="J7" s="4"/>
      <c r="L7" s="5" t="s">
        <v>7</v>
      </c>
      <c r="M7" s="5"/>
      <c r="N7" s="5"/>
    </row>
    <row r="8" customFormat="false" ht="23.85" hidden="false" customHeight="true" outlineLevel="0" collapsed="false">
      <c r="G8" s="4" t="s">
        <v>8</v>
      </c>
      <c r="H8" s="4"/>
      <c r="I8" s="4"/>
      <c r="J8" s="4"/>
      <c r="L8" s="6" t="s">
        <v>9</v>
      </c>
      <c r="M8" s="6"/>
      <c r="N8" s="7" t="n">
        <v>1962.2642</v>
      </c>
    </row>
    <row r="9" customFormat="false" ht="23.85" hidden="false" customHeight="true" outlineLevel="0" collapsed="false">
      <c r="A9" s="8" t="s">
        <v>10</v>
      </c>
      <c r="G9" s="4" t="s">
        <v>11</v>
      </c>
      <c r="H9" s="4"/>
      <c r="I9" s="4"/>
      <c r="J9" s="4"/>
      <c r="L9" s="6" t="s">
        <v>12</v>
      </c>
      <c r="M9" s="6"/>
      <c r="N9" s="7" t="n">
        <v>2575.4717</v>
      </c>
    </row>
    <row r="10" customFormat="false" ht="23.85" hidden="false" customHeight="true" outlineLevel="0" collapsed="false">
      <c r="G10" s="4" t="s">
        <v>13</v>
      </c>
      <c r="H10" s="4"/>
      <c r="I10" s="4"/>
      <c r="J10" s="4"/>
      <c r="L10" s="6" t="s">
        <v>14</v>
      </c>
      <c r="M10" s="6"/>
      <c r="N10" s="7" t="n">
        <v>919.8113</v>
      </c>
    </row>
    <row r="11" customFormat="false" ht="15" hidden="false" customHeight="false" outlineLevel="0" collapsed="false">
      <c r="A11" s="8" t="s">
        <v>15</v>
      </c>
      <c r="L11" s="6" t="s">
        <v>16</v>
      </c>
      <c r="M11" s="6"/>
      <c r="N11" s="7" t="n">
        <v>6500</v>
      </c>
    </row>
    <row r="12" customFormat="false" ht="15" hidden="false" customHeight="false" outlineLevel="0" collapsed="false">
      <c r="A12" s="8" t="s">
        <v>17</v>
      </c>
      <c r="B12" s="8" t="s">
        <v>18</v>
      </c>
      <c r="C12" s="8" t="s">
        <v>19</v>
      </c>
      <c r="D12" s="8" t="s">
        <v>20</v>
      </c>
      <c r="E12" s="8" t="s">
        <v>21</v>
      </c>
    </row>
    <row r="13" customFormat="false" ht="15" hidden="false" customHeight="false" outlineLevel="0" collapsed="false">
      <c r="A13" s="8" t="s">
        <v>22</v>
      </c>
      <c r="B13" s="8" t="n">
        <v>800</v>
      </c>
      <c r="C13" s="8" t="n">
        <v>850</v>
      </c>
      <c r="D13" s="8" t="n">
        <v>900</v>
      </c>
      <c r="E13" s="9" t="n">
        <f aca="false">AVERAGE(B13:D13)</f>
        <v>850</v>
      </c>
    </row>
    <row r="14" customFormat="false" ht="15" hidden="false" customHeight="false" outlineLevel="0" collapsed="false">
      <c r="A14" s="8" t="s">
        <v>23</v>
      </c>
      <c r="B14" s="8" t="n">
        <v>1500</v>
      </c>
      <c r="C14" s="8" t="n">
        <v>1600</v>
      </c>
      <c r="D14" s="8" t="n">
        <v>1700</v>
      </c>
      <c r="E14" s="9" t="n">
        <f aca="false">AVERAGE(B14:D14)</f>
        <v>1600</v>
      </c>
    </row>
    <row r="15" customFormat="false" ht="15" hidden="false" customHeight="false" outlineLevel="0" collapsed="false">
      <c r="A15" s="8" t="s">
        <v>24</v>
      </c>
      <c r="B15" s="8" t="n">
        <v>2000</v>
      </c>
      <c r="C15" s="8" t="n">
        <v>2100</v>
      </c>
      <c r="D15" s="8" t="n">
        <v>2200</v>
      </c>
      <c r="E15" s="9" t="n">
        <f aca="false">AVERAGE(B15:D15)</f>
        <v>2100</v>
      </c>
    </row>
    <row r="16" customFormat="false" ht="15" hidden="false" customHeight="false" outlineLevel="0" collapsed="false">
      <c r="A16" s="8" t="s">
        <v>25</v>
      </c>
      <c r="B16" s="8" t="n">
        <v>700</v>
      </c>
      <c r="C16" s="8" t="n">
        <v>750</v>
      </c>
      <c r="D16" s="8" t="n">
        <v>800</v>
      </c>
      <c r="E16" s="9" t="n">
        <f aca="false">AVERAGE(B16:D16)</f>
        <v>750</v>
      </c>
    </row>
    <row r="17" customFormat="false" ht="15" hidden="false" customHeight="false" outlineLevel="0" collapsed="false">
      <c r="A17" s="8" t="s">
        <v>26</v>
      </c>
    </row>
    <row r="19" customFormat="false" ht="15" hidden="false" customHeight="false" outlineLevel="0" collapsed="false">
      <c r="A19" s="8" t="s">
        <v>27</v>
      </c>
    </row>
    <row r="21" customFormat="false" ht="15" hidden="false" customHeight="false" outlineLevel="0" collapsed="false">
      <c r="A21" s="8" t="s">
        <v>28</v>
      </c>
    </row>
    <row r="22" customFormat="false" ht="15" hidden="false" customHeight="false" outlineLevel="0" collapsed="false">
      <c r="A22" s="8" t="s">
        <v>29</v>
      </c>
      <c r="B22" s="9" t="n">
        <f aca="false">AVERAGE(E13:E16)</f>
        <v>1325</v>
      </c>
    </row>
    <row r="24" customFormat="false" ht="15" hidden="false" customHeight="false" outlineLevel="0" collapsed="false">
      <c r="A24" s="8" t="s">
        <v>30</v>
      </c>
    </row>
    <row r="25" customFormat="false" ht="15" hidden="false" customHeight="false" outlineLevel="0" collapsed="false">
      <c r="A25" s="8" t="s">
        <v>31</v>
      </c>
    </row>
    <row r="26" customFormat="false" ht="15" hidden="false" customHeight="false" outlineLevel="0" collapsed="false">
      <c r="A26" s="8" t="s">
        <v>32</v>
      </c>
      <c r="B26" s="10" t="n">
        <f aca="false">E13/$B$22</f>
        <v>0.641509433962264</v>
      </c>
    </row>
    <row r="27" customFormat="false" ht="15" hidden="false" customHeight="false" outlineLevel="0" collapsed="false">
      <c r="A27" s="8" t="s">
        <v>33</v>
      </c>
      <c r="B27" s="10" t="n">
        <f aca="false">E14/$B$22</f>
        <v>1.20754716981132</v>
      </c>
    </row>
    <row r="28" customFormat="false" ht="15" hidden="false" customHeight="false" outlineLevel="0" collapsed="false">
      <c r="A28" s="8" t="s">
        <v>34</v>
      </c>
      <c r="B28" s="10" t="n">
        <f aca="false">E15/$B$22</f>
        <v>1.58490566037736</v>
      </c>
    </row>
    <row r="29" customFormat="false" ht="15" hidden="false" customHeight="false" outlineLevel="0" collapsed="false">
      <c r="A29" s="8" t="s">
        <v>35</v>
      </c>
      <c r="B29" s="10" t="n">
        <f aca="false">E16/$B$22</f>
        <v>0.566037735849057</v>
      </c>
    </row>
    <row r="30" customFormat="false" ht="15" hidden="false" customHeight="false" outlineLevel="0" collapsed="false">
      <c r="A30" s="8" t="s">
        <v>36</v>
      </c>
      <c r="B30" s="10" t="n">
        <f aca="false">SUM(B26:B29)</f>
        <v>4</v>
      </c>
      <c r="C30" s="8" t="s">
        <v>37</v>
      </c>
    </row>
    <row r="32" customFormat="false" ht="15" hidden="false" customHeight="false" outlineLevel="0" collapsed="false">
      <c r="A32" s="8" t="s">
        <v>38</v>
      </c>
    </row>
    <row r="33" customFormat="false" ht="15" hidden="false" customHeight="false" outlineLevel="0" collapsed="false">
      <c r="A33" s="8" t="s">
        <v>39</v>
      </c>
    </row>
    <row r="35" customFormat="false" ht="15" hidden="false" customHeight="false" outlineLevel="0" collapsed="false">
      <c r="A35" s="8" t="s">
        <v>40</v>
      </c>
    </row>
    <row r="36" customFormat="false" ht="15" hidden="false" customHeight="false" outlineLevel="0" collapsed="false">
      <c r="A36" s="8" t="s">
        <v>41</v>
      </c>
    </row>
    <row r="37" customFormat="false" ht="15" hidden="false" customHeight="false" outlineLevel="0" collapsed="false">
      <c r="A37" s="8" t="s">
        <v>42</v>
      </c>
      <c r="B37" s="9" t="n">
        <f aca="false">6500/4</f>
        <v>1625</v>
      </c>
    </row>
    <row r="39" customFormat="false" ht="15" hidden="false" customHeight="false" outlineLevel="0" collapsed="false">
      <c r="A39" s="8" t="s">
        <v>43</v>
      </c>
    </row>
    <row r="40" customFormat="false" ht="15" hidden="false" customHeight="false" outlineLevel="0" collapsed="false">
      <c r="A40" s="8" t="s">
        <v>44</v>
      </c>
    </row>
    <row r="41" customFormat="false" ht="15" hidden="false" customHeight="false" outlineLevel="0" collapsed="false">
      <c r="A41" s="8" t="s">
        <v>45</v>
      </c>
      <c r="B41" s="9" t="n">
        <f aca="false">$B$37*B26</f>
        <v>1042.45283018868</v>
      </c>
    </row>
    <row r="42" customFormat="false" ht="15" hidden="false" customHeight="false" outlineLevel="0" collapsed="false">
      <c r="A42" s="8" t="s">
        <v>46</v>
      </c>
      <c r="B42" s="9" t="n">
        <f aca="false">$B$37*B27</f>
        <v>1962.2641509434</v>
      </c>
    </row>
    <row r="43" customFormat="false" ht="15" hidden="false" customHeight="false" outlineLevel="0" collapsed="false">
      <c r="A43" s="8" t="s">
        <v>47</v>
      </c>
      <c r="B43" s="9" t="n">
        <f aca="false">$B$37*B28</f>
        <v>2575.47169811321</v>
      </c>
    </row>
    <row r="44" customFormat="false" ht="15" hidden="false" customHeight="false" outlineLevel="0" collapsed="false">
      <c r="A44" s="8" t="s">
        <v>48</v>
      </c>
      <c r="B44" s="9" t="n">
        <f aca="false">$B$37*B29</f>
        <v>919.811320754717</v>
      </c>
    </row>
    <row r="45" customFormat="false" ht="15" hidden="false" customHeight="false" outlineLevel="0" collapsed="false">
      <c r="A45" s="8" t="s">
        <v>49</v>
      </c>
      <c r="B45" s="9" t="n">
        <f aca="false">SUM(B41:B44)</f>
        <v>6500</v>
      </c>
      <c r="C45" s="8" t="s">
        <v>50</v>
      </c>
    </row>
  </sheetData>
  <mergeCells count="15">
    <mergeCell ref="A1:J1"/>
    <mergeCell ref="A2:J2"/>
    <mergeCell ref="A3:J3"/>
    <mergeCell ref="A4:J4"/>
    <mergeCell ref="G6:J6"/>
    <mergeCell ref="L6:N6"/>
    <mergeCell ref="G7:J7"/>
    <mergeCell ref="L7:N7"/>
    <mergeCell ref="G8:J8"/>
    <mergeCell ref="L8:M8"/>
    <mergeCell ref="G9:J9"/>
    <mergeCell ref="L9:M9"/>
    <mergeCell ref="G10:J10"/>
    <mergeCell ref="L10:M10"/>
    <mergeCell ref="L11:M11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