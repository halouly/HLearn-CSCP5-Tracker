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7 - TOC Constraint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<sst xmlns="http://schemas.openxmlformats.org/spreadsheetml/2006/main" count="124" uniqueCount="60">
  <si>
    <t xml:space="preserve">CASE 17: THEORY OF CONSTRAINTS — IDENTIFYING &amp; MANAGING BOTTLENECKS</t>
  </si>
  <si>
    <t xml:space="preserve">Calculation Worksheet</t>
  </si>
  <si>
    <t xml:space="preserve">SCENARIO: A production line has 4 sequential operations. Identify constraints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</si>
  <si>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</si>
  <si>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</si>
  <si>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</si>
  <si>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Identify and manage the system constraint.</t>
  </si>
  <si>
    <t xml:space="preserve">Self-check targets.</t>
  </si>
  <si>
    <t xml:space="preserve">Your task: Find the bottleneck, then apply the five focusing steps of TOC.</t>
  </si>
  <si>
    <t xml:space="preserve">90% of Market</t>
  </si>
  <si>
    <t xml:space="preserve">and calculate effective capacity considering operation ratios.</t>
  </si>
  <si>
    <t xml:space="preserve">Approach: System throughput is set by the slowest operation; exploit and elevate it.</t>
  </si>
  <si>
    <t xml:space="preserve">Throughput</t>
  </si>
  <si>
    <t xml:space="preserve">Time: ~25 min   •   Fill the shaded input cells, then check the ANSWER KEY sheet only after you finish.</t>
  </si>
  <si>
    <t xml:space="preserve">Additional Throughput</t>
  </si>
  <si>
    <t xml:space="preserve">PRODUCTION LINE DATA</t>
  </si>
  <si>
    <t xml:space="preserve">Net Benefit</t>
  </si>
  <si>
    <t xml:space="preserve">Operation</t>
  </si>
  <si>
    <t xml:space="preserve">Capacity (units/hr)</t>
  </si>
  <si>
    <t xml:space="preserve">Ratio to Next Op</t>
  </si>
  <si>
    <t xml:space="preserve">Effective Capacity</t>
  </si>
  <si>
    <t xml:space="preserve">Op 1 - Cutting</t>
  </si>
  <si>
    <t xml:space="preserve">1:1</t>
  </si>
  <si>
    <t xml:space="preserve">Op 2 - Forming</t>
  </si>
  <si>
    <t xml:space="preserve">2:1 (uses 2 from Op1)</t>
  </si>
  <si>
    <t xml:space="preserve">Op 3 - Assembly</t>
  </si>
  <si>
    <t xml:space="preserve">Op 4 - Finishing</t>
  </si>
  <si>
    <t xml:space="preserve">Final</t>
  </si>
  <si>
    <t xml:space="preserve">Market Demand: 70 units/hour</t>
  </si>
  <si>
    <t xml:space="preserve">Q1: Considering the 2:1 ratio at Op 2, what is effective capacity of Op 1?</t>
  </si>
  <si>
    <t xml:space="preserve">    Formula: Op1 Capacity ÷ Ratio</t>
  </si>
  <si>
    <t xml:space="preserve">    Effective Op 1:</t>
  </si>
  <si>
    <t xml:space="preserve">units/hr</t>
  </si>
  <si>
    <t xml:space="preserve">Q2: What is the bottleneck operation?</t>
  </si>
  <si>
    <t xml:space="preserve">    Answer:</t>
  </si>
  <si>
    <t xml:space="preserve">Op 1 (Cutting), effective 60 units/hr</t>
  </si>
  <si>
    <t xml:space="preserve">    Bottleneck Capacity:</t>
  </si>
  <si>
    <t xml:space="preserve">Q3: Is this an Internal or External constraint?</t>
  </si>
  <si>
    <t xml:space="preserve">    Internal: Operation capacity &lt; Market demand</t>
  </si>
  <si>
    <t xml:space="preserve">    External: Market demand &lt; Production capacity</t>
  </si>
  <si>
    <t xml:space="preserve">Internal (60 &lt; 70 market)</t>
  </si>
  <si>
    <t xml:space="preserve">    Reasoning:</t>
  </si>
  <si>
    <t xml:space="preserve">Q4: Is any resource a Capacity Constrained Resource (CCR)?</t>
  </si>
  <si>
    <t xml:space="preserve">    CCR Definition: Operating at ~90% of market demand</t>
  </si>
  <si>
    <t xml:space="preserve">    90% of Market:</t>
  </si>
  <si>
    <t xml:space="preserve">    CCR:</t>
  </si>
  <si>
    <t xml:space="preserve">Op 3 (80/hr) is closest to the 63 CCR threshold</t>
  </si>
  <si>
    <t xml:space="preserve">THROUGHPUT ANALYSIS:</t>
  </si>
  <si>
    <t xml:space="preserve">Product sells for $150/unit, Material cost = $50/unit</t>
  </si>
  <si>
    <t xml:space="preserve">Q5: Calculate Throughput at constraint.</t>
  </si>
  <si>
    <t xml:space="preserve">    Throughput = (Price - Material) × Constraint Rate</t>
  </si>
  <si>
    <t xml:space="preserve">    Throughput:</t>
  </si>
  <si>
    <t xml:space="preserve">$/hour</t>
  </si>
  <si>
    <t xml:space="preserve">Q6: If constraint can be elevated by 10 units/hr for $500/hr cost, worth it?</t>
  </si>
  <si>
    <t xml:space="preserve">    Additional Throughput:</t>
  </si>
  <si>
    <t xml:space="preserve">    Net Benefit:</t>
  </si>
  <si>
    <t xml:space="preserve">    Decision:</t>
  </si>
  <si>
    <t xml:space="preserve">Yes — elevate; net +$500/hr (=$1,000 added throughput − $500 cost)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</si>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</sst>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6" min="6" style="0" width="20"/>
    <col collapsed="false" customWidth="true" hidden="false" outlineLevel="0" max="11" min="11" style="0" width="2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</row>
    <row r="6" customFormat="false" ht="15" hidden="false" customHeight="false" outlineLevel="0" collapsed="false">
      <c r="F6" s="1" t="s">
        <v>4</v>
      </c>
      <c r="G6" s="1"/>
      <c r="H6" s="1"/>
      <c r="I6" s="1"/>
      <c r="K6" s="1" t="s">
        <v>5</v>
      </c>
      <c r="L6" s="1"/>
      <c r="M6" s="1"/>
    </row>
    <row r="7" customFormat="false" ht="15" hidden="false" customHeight="true" outlineLevel="0" collapsed="false">
      <c r="F7" s="4" t="s">
        <v>6</v>
      </c>
      <c r="G7" s="4"/>
      <c r="H7" s="4"/>
      <c r="I7" s="4"/>
      <c r="K7" s="5" t="s">
        <v>7</v>
      </c>
      <c r="L7" s="5"/>
      <c r="M7" s="5"/>
    </row>
    <row r="8" customFormat="false" ht="23.85" hidden="false" customHeight="true" outlineLevel="0" collapsed="false">
      <c r="F8" s="4" t="s">
        <v>8</v>
      </c>
      <c r="G8" s="4"/>
      <c r="H8" s="4"/>
      <c r="I8" s="4"/>
      <c r="K8" s="6" t="s">
        <v>9</v>
      </c>
      <c r="L8" s="6"/>
      <c r="M8" s="7" t="n">
        <v>63</v>
      </c>
    </row>
    <row r="9" customFormat="false" ht="23.85" hidden="false" customHeight="true" outlineLevel="0" collapsed="false">
      <c r="A9" s="8" t="s">
        <v>10</v>
      </c>
      <c r="F9" s="4" t="s">
        <v>11</v>
      </c>
      <c r="G9" s="4"/>
      <c r="H9" s="4"/>
      <c r="I9" s="4"/>
      <c r="K9" s="6" t="s">
        <v>12</v>
      </c>
      <c r="L9" s="6"/>
      <c r="M9" s="7" t="n">
        <v>6000</v>
      </c>
    </row>
    <row r="10" customFormat="false" ht="23.85" hidden="false" customHeight="true" outlineLevel="0" collapsed="false">
      <c r="F10" s="4" t="s">
        <v>13</v>
      </c>
      <c r="G10" s="4"/>
      <c r="H10" s="4"/>
      <c r="I10" s="4"/>
      <c r="K10" s="6" t="s">
        <v>14</v>
      </c>
      <c r="L10" s="6"/>
      <c r="M10" s="7" t="n">
        <v>1000</v>
      </c>
    </row>
    <row r="11" customFormat="false" ht="15" hidden="false" customHeight="false" outlineLevel="0" collapsed="false">
      <c r="A11" s="8" t="s">
        <v>15</v>
      </c>
      <c r="K11" s="6" t="s">
        <v>16</v>
      </c>
      <c r="L11" s="6"/>
      <c r="M11" s="7" t="n">
        <v>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</row>
    <row r="13" customFormat="false" ht="15" hidden="false" customHeight="false" outlineLevel="0" collapsed="false">
      <c r="A13" s="8" t="s">
        <v>21</v>
      </c>
      <c r="B13" s="8" t="n">
        <v>120</v>
      </c>
      <c r="C13" s="8" t="s">
        <v>22</v>
      </c>
      <c r="D13" s="9"/>
    </row>
    <row r="14" customFormat="false" ht="15" hidden="false" customHeight="false" outlineLevel="0" collapsed="false">
      <c r="A14" s="8" t="s">
        <v>23</v>
      </c>
      <c r="B14" s="8" t="n">
        <v>100</v>
      </c>
      <c r="C14" s="8" t="s">
        <v>24</v>
      </c>
      <c r="D14" s="9"/>
    </row>
    <row r="15" customFormat="false" ht="15" hidden="false" customHeight="false" outlineLevel="0" collapsed="false">
      <c r="A15" s="8" t="s">
        <v>25</v>
      </c>
      <c r="B15" s="8" t="n">
        <v>80</v>
      </c>
      <c r="C15" s="8" t="s">
        <v>22</v>
      </c>
      <c r="D15" s="9"/>
    </row>
    <row r="16" customFormat="false" ht="15" hidden="false" customHeight="false" outlineLevel="0" collapsed="false">
      <c r="A16" s="8" t="s">
        <v>26</v>
      </c>
      <c r="B16" s="8" t="n">
        <v>90</v>
      </c>
      <c r="C16" s="8" t="s">
        <v>27</v>
      </c>
      <c r="D16" s="9"/>
    </row>
    <row r="18" customFormat="false" ht="15" hidden="false" customHeight="false" outlineLevel="0" collapsed="false">
      <c r="A18" s="8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</row>
    <row r="22" customFormat="false" ht="15" hidden="false" customHeight="false" outlineLevel="0" collapsed="false">
      <c r="A22" s="8" t="s">
        <v>31</v>
      </c>
      <c r="B22" s="9"/>
      <c r="C22" s="8" t="s">
        <v>32</v>
      </c>
    </row>
    <row r="24" customFormat="false" ht="15" hidden="false" customHeight="false" outlineLevel="0" collapsed="false">
      <c r="A24" s="8" t="s">
        <v>33</v>
      </c>
    </row>
    <row r="25" customFormat="false" ht="15" hidden="false" customHeight="false" outlineLevel="0" collapsed="false">
      <c r="A25" s="8" t="s">
        <v>34</v>
      </c>
      <c r="B25" s="8" t="s">
        <v>35</v>
      </c>
    </row>
    <row r="26" customFormat="false" ht="15" hidden="false" customHeight="false" outlineLevel="0" collapsed="false">
      <c r="A26" s="8" t="s">
        <v>36</v>
      </c>
      <c r="B26" s="9"/>
      <c r="C26" s="8" t="s">
        <v>32</v>
      </c>
    </row>
    <row r="28" customFormat="false" ht="15" hidden="false" customHeight="false" outlineLevel="0" collapsed="false">
      <c r="A28" s="8" t="s">
        <v>37</v>
      </c>
    </row>
    <row r="29" customFormat="false" ht="15" hidden="false" customHeight="false" outlineLevel="0" collapsed="false">
      <c r="A29" s="8" t="s">
        <v>38</v>
      </c>
    </row>
    <row r="30" customFormat="false" ht="15" hidden="false" customHeight="false" outlineLevel="0" collapsed="false">
      <c r="A30" s="8" t="s">
        <v>39</v>
      </c>
    </row>
    <row r="31" customFormat="false" ht="15" hidden="false" customHeight="false" outlineLevel="0" collapsed="false">
      <c r="A31" s="8" t="s">
        <v>34</v>
      </c>
      <c r="B31" s="8" t="s">
        <v>40</v>
      </c>
    </row>
    <row r="32" customFormat="false" ht="15" hidden="false" customHeight="false" outlineLevel="0" collapsed="false">
      <c r="A32" s="8" t="s">
        <v>41</v>
      </c>
    </row>
    <row r="34" customFormat="false" ht="15" hidden="false" customHeight="false" outlineLevel="0" collapsed="false">
      <c r="A34" s="8" t="s">
        <v>42</v>
      </c>
    </row>
    <row r="35" customFormat="false" ht="15" hidden="false" customHeight="false" outlineLevel="0" collapsed="false">
      <c r="A35" s="8" t="s">
        <v>43</v>
      </c>
    </row>
    <row r="36" customFormat="false" ht="15" hidden="false" customHeight="false" outlineLevel="0" collapsed="false">
      <c r="A36" s="8" t="s">
        <v>44</v>
      </c>
      <c r="B36" s="9"/>
      <c r="C36" s="8" t="s">
        <v>32</v>
      </c>
    </row>
    <row r="37" customFormat="false" ht="15" hidden="false" customHeight="false" outlineLevel="0" collapsed="false">
      <c r="A37" s="8" t="s">
        <v>45</v>
      </c>
      <c r="B37" s="8" t="s">
        <v>46</v>
      </c>
    </row>
    <row r="39" customFormat="false" ht="15" hidden="false" customHeight="false" outlineLevel="0" collapsed="false">
      <c r="A39" s="8" t="s">
        <v>47</v>
      </c>
    </row>
    <row r="40" customFormat="false" ht="15" hidden="false" customHeight="false" outlineLevel="0" collapsed="false">
      <c r="A40" s="8" t="s">
        <v>48</v>
      </c>
    </row>
    <row r="42" customFormat="false" ht="15" hidden="false" customHeight="false" outlineLevel="0" collapsed="false">
      <c r="A42" s="8" t="s">
        <v>49</v>
      </c>
    </row>
    <row r="43" customFormat="false" ht="15" hidden="false" customHeight="false" outlineLevel="0" collapsed="false">
      <c r="A43" s="8" t="s">
        <v>50</v>
      </c>
    </row>
    <row r="44" customFormat="false" ht="15" hidden="false" customHeight="false" outlineLevel="0" collapsed="false">
      <c r="A44" s="8" t="s">
        <v>51</v>
      </c>
      <c r="B44" s="9"/>
      <c r="C44" s="8" t="s">
        <v>52</v>
      </c>
    </row>
    <row r="46" customFormat="false" ht="15" hidden="false" customHeight="false" outlineLevel="0" collapsed="false">
      <c r="A46" s="8" t="s">
        <v>53</v>
      </c>
    </row>
    <row r="47" customFormat="false" ht="15" hidden="false" customHeight="false" outlineLevel="0" collapsed="false">
      <c r="A47" s="8" t="s">
        <v>54</v>
      </c>
      <c r="B47" s="9"/>
    </row>
    <row r="48" customFormat="false" ht="15" hidden="false" customHeight="false" outlineLevel="0" collapsed="false">
      <c r="A48" s="8" t="s">
        <v>55</v>
      </c>
      <c r="B48" s="9"/>
    </row>
    <row r="49" customFormat="false" ht="15" hidden="false" customHeight="false" outlineLevel="0" collapsed="false">
      <c r="A49" s="8" t="s">
        <v>56</v>
      </c>
      <c r="B49" s="8" t="s">
        <v>57</v>
      </c>
    </row>
  </sheetData>
  <mergeCells count="15">
    <mergeCell ref="A1:I1"/>
    <mergeCell ref="A2:I2"/>
    <mergeCell ref="A3:I3"/>
    <mergeCell ref="A4:I4"/>
    <mergeCell ref="F6:I6"/>
    <mergeCell ref="K6:M6"/>
    <mergeCell ref="F7:I7"/>
    <mergeCell ref="K7:M7"/>
    <mergeCell ref="F8:I8"/>
    <mergeCell ref="K8:L8"/>
    <mergeCell ref="F9:I9"/>
    <mergeCell ref="K9:L9"/>
    <mergeCell ref="F10:I10"/>
    <mergeCell ref="K10:L10"/>
    <mergeCell ref="K11:L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6" min="6" style="0" width="20"/>
    <col collapsed="false" customWidth="true" hidden="false" outlineLevel="0" max="11" min="11" style="0" width="2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 t="s">
        <v>58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3" t="s">
        <v>59</v>
      </c>
      <c r="B4" s="3"/>
      <c r="C4" s="3"/>
      <c r="D4" s="3"/>
      <c r="E4" s="3"/>
      <c r="F4" s="3"/>
      <c r="G4" s="3"/>
      <c r="H4" s="3"/>
      <c r="I4" s="3"/>
    </row>
    <row r="6" customFormat="false" ht="15" hidden="false" customHeight="false" outlineLevel="0" collapsed="false">
      <c r="F6" s="1" t="s">
        <v>4</v>
      </c>
      <c r="G6" s="1"/>
      <c r="H6" s="1"/>
      <c r="I6" s="1"/>
      <c r="K6" s="1" t="s">
        <v>5</v>
      </c>
      <c r="L6" s="1"/>
      <c r="M6" s="1"/>
    </row>
    <row r="7" customFormat="false" ht="15" hidden="false" customHeight="true" outlineLevel="0" collapsed="false">
      <c r="F7" s="4" t="s">
        <v>6</v>
      </c>
      <c r="G7" s="4"/>
      <c r="H7" s="4"/>
      <c r="I7" s="4"/>
      <c r="K7" s="5" t="s">
        <v>7</v>
      </c>
      <c r="L7" s="5"/>
      <c r="M7" s="5"/>
    </row>
    <row r="8" customFormat="false" ht="23.85" hidden="false" customHeight="true" outlineLevel="0" collapsed="false">
      <c r="F8" s="4" t="s">
        <v>8</v>
      </c>
      <c r="G8" s="4"/>
      <c r="H8" s="4"/>
      <c r="I8" s="4"/>
      <c r="K8" s="6" t="s">
        <v>9</v>
      </c>
      <c r="L8" s="6"/>
      <c r="M8" s="7" t="n">
        <v>63</v>
      </c>
    </row>
    <row r="9" customFormat="false" ht="23.85" hidden="false" customHeight="true" outlineLevel="0" collapsed="false">
      <c r="A9" s="8" t="s">
        <v>10</v>
      </c>
      <c r="F9" s="4" t="s">
        <v>11</v>
      </c>
      <c r="G9" s="4"/>
      <c r="H9" s="4"/>
      <c r="I9" s="4"/>
      <c r="K9" s="6" t="s">
        <v>12</v>
      </c>
      <c r="L9" s="6"/>
      <c r="M9" s="7" t="n">
        <v>6000</v>
      </c>
    </row>
    <row r="10" customFormat="false" ht="23.85" hidden="false" customHeight="true" outlineLevel="0" collapsed="false">
      <c r="F10" s="4" t="s">
        <v>13</v>
      </c>
      <c r="G10" s="4"/>
      <c r="H10" s="4"/>
      <c r="I10" s="4"/>
      <c r="K10" s="6" t="s">
        <v>14</v>
      </c>
      <c r="L10" s="6"/>
      <c r="M10" s="7" t="n">
        <v>1000</v>
      </c>
    </row>
    <row r="11" customFormat="false" ht="15" hidden="false" customHeight="false" outlineLevel="0" collapsed="false">
      <c r="A11" s="8" t="s">
        <v>15</v>
      </c>
      <c r="K11" s="6" t="s">
        <v>16</v>
      </c>
      <c r="L11" s="6"/>
      <c r="M11" s="7" t="n">
        <v>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</row>
    <row r="13" customFormat="false" ht="15" hidden="false" customHeight="false" outlineLevel="0" collapsed="false">
      <c r="A13" s="8" t="s">
        <v>21</v>
      </c>
      <c r="B13" s="8" t="n">
        <v>120</v>
      </c>
      <c r="C13" s="8" t="s">
        <v>22</v>
      </c>
      <c r="D13" s="9" t="n">
        <f aca="false">B13/2</f>
        <v>60</v>
      </c>
    </row>
    <row r="14" customFormat="false" ht="15" hidden="false" customHeight="false" outlineLevel="0" collapsed="false">
      <c r="A14" s="8" t="s">
        <v>23</v>
      </c>
      <c r="B14" s="8" t="n">
        <v>100</v>
      </c>
      <c r="C14" s="8" t="s">
        <v>24</v>
      </c>
      <c r="D14" s="9" t="n">
        <f aca="false">B14</f>
        <v>100</v>
      </c>
    </row>
    <row r="15" customFormat="false" ht="15" hidden="false" customHeight="false" outlineLevel="0" collapsed="false">
      <c r="A15" s="8" t="s">
        <v>25</v>
      </c>
      <c r="B15" s="8" t="n">
        <v>80</v>
      </c>
      <c r="C15" s="8" t="s">
        <v>22</v>
      </c>
      <c r="D15" s="9" t="n">
        <f aca="false">B15</f>
        <v>80</v>
      </c>
    </row>
    <row r="16" customFormat="false" ht="15" hidden="false" customHeight="false" outlineLevel="0" collapsed="false">
      <c r="A16" s="8" t="s">
        <v>26</v>
      </c>
      <c r="B16" s="8" t="n">
        <v>90</v>
      </c>
      <c r="C16" s="8" t="s">
        <v>27</v>
      </c>
      <c r="D16" s="9" t="n">
        <f aca="false">B16</f>
        <v>90</v>
      </c>
    </row>
    <row r="18" customFormat="false" ht="15" hidden="false" customHeight="false" outlineLevel="0" collapsed="false">
      <c r="A18" s="8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</row>
    <row r="22" customFormat="false" ht="15" hidden="false" customHeight="false" outlineLevel="0" collapsed="false">
      <c r="A22" s="8" t="s">
        <v>31</v>
      </c>
      <c r="B22" s="9" t="n">
        <f aca="false">B13/2</f>
        <v>60</v>
      </c>
      <c r="C22" s="8" t="s">
        <v>32</v>
      </c>
    </row>
    <row r="24" customFormat="false" ht="15" hidden="false" customHeight="false" outlineLevel="0" collapsed="false">
      <c r="A24" s="8" t="s">
        <v>33</v>
      </c>
    </row>
    <row r="25" customFormat="false" ht="15" hidden="false" customHeight="false" outlineLevel="0" collapsed="false">
      <c r="A25" s="8" t="s">
        <v>34</v>
      </c>
      <c r="B25" s="8" t="s">
        <v>35</v>
      </c>
    </row>
    <row r="26" customFormat="false" ht="15" hidden="false" customHeight="false" outlineLevel="0" collapsed="false">
      <c r="A26" s="8" t="s">
        <v>36</v>
      </c>
      <c r="B26" s="9" t="n">
        <f aca="false">MIN(D13:D16)</f>
        <v>60</v>
      </c>
      <c r="C26" s="8" t="s">
        <v>32</v>
      </c>
    </row>
    <row r="28" customFormat="false" ht="15" hidden="false" customHeight="false" outlineLevel="0" collapsed="false">
      <c r="A28" s="8" t="s">
        <v>37</v>
      </c>
    </row>
    <row r="29" customFormat="false" ht="15" hidden="false" customHeight="false" outlineLevel="0" collapsed="false">
      <c r="A29" s="8" t="s">
        <v>38</v>
      </c>
    </row>
    <row r="30" customFormat="false" ht="15" hidden="false" customHeight="false" outlineLevel="0" collapsed="false">
      <c r="A30" s="8" t="s">
        <v>39</v>
      </c>
    </row>
    <row r="31" customFormat="false" ht="15" hidden="false" customHeight="false" outlineLevel="0" collapsed="false">
      <c r="A31" s="8" t="s">
        <v>34</v>
      </c>
      <c r="B31" s="8" t="s">
        <v>40</v>
      </c>
    </row>
    <row r="32" customFormat="false" ht="15" hidden="false" customHeight="false" outlineLevel="0" collapsed="false">
      <c r="A32" s="8" t="s">
        <v>41</v>
      </c>
    </row>
    <row r="34" customFormat="false" ht="15" hidden="false" customHeight="false" outlineLevel="0" collapsed="false">
      <c r="A34" s="8" t="s">
        <v>42</v>
      </c>
    </row>
    <row r="35" customFormat="false" ht="15" hidden="false" customHeight="false" outlineLevel="0" collapsed="false">
      <c r="A35" s="8" t="s">
        <v>43</v>
      </c>
    </row>
    <row r="36" customFormat="false" ht="15" hidden="false" customHeight="false" outlineLevel="0" collapsed="false">
      <c r="A36" s="8" t="s">
        <v>44</v>
      </c>
      <c r="B36" s="9" t="n">
        <f aca="false">0.9*70</f>
        <v>63</v>
      </c>
      <c r="C36" s="8" t="s">
        <v>32</v>
      </c>
    </row>
    <row r="37" customFormat="false" ht="15" hidden="false" customHeight="false" outlineLevel="0" collapsed="false">
      <c r="A37" s="8" t="s">
        <v>45</v>
      </c>
      <c r="B37" s="8" t="s">
        <v>46</v>
      </c>
    </row>
    <row r="39" customFormat="false" ht="15" hidden="false" customHeight="false" outlineLevel="0" collapsed="false">
      <c r="A39" s="8" t="s">
        <v>47</v>
      </c>
    </row>
    <row r="40" customFormat="false" ht="15" hidden="false" customHeight="false" outlineLevel="0" collapsed="false">
      <c r="A40" s="8" t="s">
        <v>48</v>
      </c>
    </row>
    <row r="42" customFormat="false" ht="15" hidden="false" customHeight="false" outlineLevel="0" collapsed="false">
      <c r="A42" s="8" t="s">
        <v>49</v>
      </c>
    </row>
    <row r="43" customFormat="false" ht="15" hidden="false" customHeight="false" outlineLevel="0" collapsed="false">
      <c r="A43" s="8" t="s">
        <v>50</v>
      </c>
    </row>
    <row r="44" customFormat="false" ht="15" hidden="false" customHeight="false" outlineLevel="0" collapsed="false">
      <c r="A44" s="8" t="s">
        <v>51</v>
      </c>
      <c r="B44" s="9" t="n">
        <f aca="false">(150-50)*B26</f>
        <v>6000</v>
      </c>
      <c r="C44" s="8" t="s">
        <v>52</v>
      </c>
    </row>
    <row r="46" customFormat="false" ht="15" hidden="false" customHeight="false" outlineLevel="0" collapsed="false">
      <c r="A46" s="8" t="s">
        <v>53</v>
      </c>
    </row>
    <row r="47" customFormat="false" ht="15" hidden="false" customHeight="false" outlineLevel="0" collapsed="false">
      <c r="A47" s="8" t="s">
        <v>54</v>
      </c>
      <c r="B47" s="9" t="n">
        <f aca="false">(150-50)*10</f>
        <v>1000</v>
      </c>
    </row>
    <row r="48" customFormat="false" ht="15" hidden="false" customHeight="false" outlineLevel="0" collapsed="false">
      <c r="A48" s="8" t="s">
        <v>55</v>
      </c>
      <c r="B48" s="9" t="n">
        <f aca="false">B47-500</f>
        <v>500</v>
      </c>
    </row>
    <row r="49" customFormat="false" ht="15" hidden="false" customHeight="false" outlineLevel="0" collapsed="false">
      <c r="A49" s="8" t="s">
        <v>56</v>
      </c>
      <c r="B49" s="8" t="s">
        <v>57</v>
      </c>
    </row>
  </sheetData>
  <mergeCells count="15">
    <mergeCell ref="A1:I1"/>
    <mergeCell ref="A2:I2"/>
    <mergeCell ref="A3:I3"/>
    <mergeCell ref="A4:I4"/>
    <mergeCell ref="F6:I6"/>
    <mergeCell ref="K6:M6"/>
    <mergeCell ref="F7:I7"/>
    <mergeCell ref="K7:M7"/>
    <mergeCell ref="F8:I8"/>
    <mergeCell ref="K8:L8"/>
    <mergeCell ref="F9:I9"/>
    <mergeCell ref="K9:L9"/>
    <mergeCell ref="F10:I10"/>
    <mergeCell ref="K10:L10"/>
    <mergeCell ref="K11:L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