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e 18 - Location Analysis" sheetId="1" state="visible" r:id="rId3"/>
    <sheet name="Solu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<sst xmlns="http://schemas.openxmlformats.org/spreadsheetml/2006/main" count="118" uniqueCount="57">
  <si>
    <t xml:space="preserve">CASE 18: FACILITY LOCATION — CENTER OF GRAVITY &amp; COST ANALYSIS</t>
  </si>
  <si>
    <t xml:space="preserve">Calculation Worksheet</t>
  </si>
  <si>
    <t xml:space="preserve">SCENARIO: A company needs to locate a new distribution center to serve 4 regional warehouses.</t>
  </si>
  <si>
    <t xml:space="preserve">HOW TO USE: Blue cells are given. Green cells are yours to compute. Self-check against the Check Figures panel.</t>
  </si>
  <si>
    <t xml:space="preserve">▸ HOW TO COMPLETE THIS CASE</t>
  </si>
  <si>
    <t xml:space="preserve">CHECK FIGURES</t>
  </si>
  <si>
    <t xml:space="preserve">Objective: Select a distribution-center location.</t>
  </si>
  <si>
    <t xml:space="preserve">Self-check targets.</t>
  </si>
  <si>
    <t xml:space="preserve">Your task: Apply center-of-gravity and compare total cost across candidate sites.</t>
  </si>
  <si>
    <t xml:space="preserve">Distance to WH-C</t>
  </si>
  <si>
    <t xml:space="preserve">Use Center of Gravity method and compare to an alternative fixed location.</t>
  </si>
  <si>
    <t xml:space="preserve">Approach: Weight each demand point's coordinates by its volume to find the gravity center.</t>
  </si>
  <si>
    <t xml:space="preserve">Distance to WH-D</t>
  </si>
  <si>
    <t xml:space="preserve">Time: ~25 min   •   Fill the shaded input cells, then check the ANSWER KEY sheet only after you finish.</t>
  </si>
  <si>
    <t xml:space="preserve">Total Annual Cost (Alt)</t>
  </si>
  <si>
    <t xml:space="preserve">REGIONAL WAREHOUSE DATA</t>
  </si>
  <si>
    <t xml:space="preserve">Annual Savings</t>
  </si>
  <si>
    <t xml:space="preserve">Warehouse</t>
  </si>
  <si>
    <t xml:space="preserve">X Coordinate</t>
  </si>
  <si>
    <t xml:space="preserve">Y Coordinate</t>
  </si>
  <si>
    <t xml:space="preserve">Annual Volume (tons)</t>
  </si>
  <si>
    <t xml:space="preserve">X × Vol</t>
  </si>
  <si>
    <t xml:space="preserve">Y × Vol</t>
  </si>
  <si>
    <t xml:space="preserve">WH-A (Northeast)</t>
  </si>
  <si>
    <t xml:space="preserve">WH-B (Southeast)</t>
  </si>
  <si>
    <t xml:space="preserve">WH-C (Midwest)</t>
  </si>
  <si>
    <t xml:space="preserve">WH-D (West)</t>
  </si>
  <si>
    <t xml:space="preserve">TOTALS</t>
  </si>
  <si>
    <t xml:space="preserve">Q1: Calculate the Center of Gravity coordinates.</t>
  </si>
  <si>
    <t xml:space="preserve">    X* = Σ(Xi × Vi) / Σ(Vi)</t>
  </si>
  <si>
    <t xml:space="preserve">    Y* = Σ(Yi × Vi) / Σ(Vi)</t>
  </si>
  <si>
    <t xml:space="preserve">    Center of Gravity X:</t>
  </si>
  <si>
    <t xml:space="preserve">    Center of Gravity Y:</t>
  </si>
  <si>
    <t xml:space="preserve">COST COMPARISON:</t>
  </si>
  <si>
    <t xml:space="preserve">Transportation cost = $2.50 per ton-mile</t>
  </si>
  <si>
    <t xml:space="preserve">Q2: Calculate total cost from CoG location to each warehouse.</t>
  </si>
  <si>
    <t xml:space="preserve">    Distance formula: √[(X2-X1)² + (Y2-Y1)²]</t>
  </si>
  <si>
    <t xml:space="preserve">    Cost = Distance × Volume × Rate</t>
  </si>
  <si>
    <t xml:space="preserve">    Distance to WH-A:</t>
  </si>
  <si>
    <t xml:space="preserve">    Distance to WH-B:</t>
  </si>
  <si>
    <t xml:space="preserve">    Distance to WH-C:</t>
  </si>
  <si>
    <t xml:space="preserve">    Distance to WH-D:</t>
  </si>
  <si>
    <t xml:space="preserve">    Total Annual Cost (CoG):</t>
  </si>
  <si>
    <t xml:space="preserve">ALTERNATIVE LOCATION: (80, 120)</t>
  </si>
  <si>
    <t xml:space="preserve">Q3: Calculate total cost from alternative location.</t>
  </si>
  <si>
    <t xml:space="preserve">    Total Annual Cost (Alt):</t>
  </si>
  <si>
    <t xml:space="preserve">Q4: Which location is better and by how much?</t>
  </si>
  <si>
    <t xml:space="preserve">    Better Location:</t>
  </si>
  <si>
    <t xml:space="preserve">Center-of-Gravity location (lower total cost)</t>
  </si>
  <si>
    <t xml:space="preserve">    Annual Savings:</t>
  </si>
  <si>
    <t xml:space="preserve">LAW OF SQUARES APPLICATION:</t>
  </si>
  <si>
    <t xml:space="preserve">Q5: If transportation costs decrease by 50%, how does service area change?</t>
  </si>
  <si>
    <t xml:space="preserve">    Formula: Change in area = (change ratio)²</t>
  </si>
  <si>
    <t xml:space="preserve">    Answer:</t>
  </si>
  <si>
    <t xml:space="preserve">Service area grows 4× ((1/0.5)² = 4) — Law of Squares</t>
  </si>
  <si>
    <t xml:space="preserve">Solution Key</t>
  </si>
  <si>
    <t xml:space="preserve">SOLUTION: green cells show worked answers; blue cells are the given inputs.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</si>
</sst>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F0FD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DF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5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8" min="8" style="0" width="20"/>
    <col collapsed="false" customWidth="true" hidden="false" outlineLevel="0" max="13" min="13" style="0" width="24"/>
    <col collapsed="false" customWidth="true" hidden="false" outlineLevel="0" max="15" min="15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</row>
    <row r="6" customFormat="false" ht="15" hidden="false" customHeight="false" outlineLevel="0" collapsed="false">
      <c r="H6" s="1" t="s">
        <v>4</v>
      </c>
      <c r="I6" s="1"/>
      <c r="J6" s="1"/>
      <c r="K6" s="1"/>
      <c r="M6" s="1" t="s">
        <v>5</v>
      </c>
      <c r="N6" s="1"/>
      <c r="O6" s="1"/>
    </row>
    <row r="7" customFormat="false" ht="15" hidden="false" customHeight="true" outlineLevel="0" collapsed="false">
      <c r="H7" s="4" t="s">
        <v>6</v>
      </c>
      <c r="I7" s="4"/>
      <c r="J7" s="4"/>
      <c r="K7" s="4"/>
      <c r="M7" s="5" t="s">
        <v>7</v>
      </c>
      <c r="N7" s="5"/>
      <c r="O7" s="5"/>
    </row>
    <row r="8" customFormat="false" ht="23.85" hidden="false" customHeight="true" outlineLevel="0" collapsed="false">
      <c r="H8" s="4" t="s">
        <v>8</v>
      </c>
      <c r="I8" s="4"/>
      <c r="J8" s="4"/>
      <c r="K8" s="4"/>
      <c r="M8" s="6" t="s">
        <v>9</v>
      </c>
      <c r="N8" s="6"/>
      <c r="O8" s="7" t="n">
        <v>42.4264</v>
      </c>
    </row>
    <row r="9" customFormat="false" ht="23.85" hidden="false" customHeight="true" outlineLevel="0" collapsed="false">
      <c r="A9" s="8" t="s">
        <v>10</v>
      </c>
      <c r="H9" s="4" t="s">
        <v>11</v>
      </c>
      <c r="I9" s="4"/>
      <c r="J9" s="4"/>
      <c r="K9" s="4"/>
      <c r="M9" s="6" t="s">
        <v>12</v>
      </c>
      <c r="N9" s="6"/>
      <c r="O9" s="7" t="n">
        <v>63.2456</v>
      </c>
    </row>
    <row r="10" customFormat="false" ht="23.85" hidden="false" customHeight="true" outlineLevel="0" collapsed="false">
      <c r="H10" s="4" t="s">
        <v>13</v>
      </c>
      <c r="I10" s="4"/>
      <c r="J10" s="4"/>
      <c r="K10" s="4"/>
      <c r="M10" s="6" t="s">
        <v>14</v>
      </c>
      <c r="N10" s="6"/>
      <c r="O10" s="9" t="n">
        <v>4279527.0288</v>
      </c>
    </row>
    <row r="11" customFormat="false" ht="15" hidden="false" customHeight="false" outlineLevel="0" collapsed="false">
      <c r="A11" s="8" t="s">
        <v>15</v>
      </c>
      <c r="M11" s="6" t="s">
        <v>16</v>
      </c>
      <c r="N11" s="6"/>
      <c r="O11" s="9" t="n">
        <v>63503.4205</v>
      </c>
    </row>
    <row r="12" customFormat="false" ht="15" hidden="false" customHeight="false" outlineLevel="0" collapsed="false">
      <c r="A12" s="8" t="s">
        <v>17</v>
      </c>
      <c r="B12" s="8" t="s">
        <v>18</v>
      </c>
      <c r="C12" s="8" t="s">
        <v>19</v>
      </c>
      <c r="D12" s="8" t="s">
        <v>20</v>
      </c>
      <c r="E12" s="8" t="s">
        <v>21</v>
      </c>
      <c r="F12" s="8" t="s">
        <v>22</v>
      </c>
    </row>
    <row r="13" customFormat="false" ht="15" hidden="false" customHeight="false" outlineLevel="0" collapsed="false">
      <c r="A13" s="8" t="s">
        <v>23</v>
      </c>
      <c r="B13" s="8" t="n">
        <v>100</v>
      </c>
      <c r="C13" s="8" t="n">
        <v>200</v>
      </c>
      <c r="D13" s="8" t="n">
        <v>5000</v>
      </c>
      <c r="E13" s="10"/>
      <c r="F13" s="10"/>
    </row>
    <row r="14" customFormat="false" ht="15" hidden="false" customHeight="false" outlineLevel="0" collapsed="false">
      <c r="A14" s="8" t="s">
        <v>24</v>
      </c>
      <c r="B14" s="8" t="n">
        <v>150</v>
      </c>
      <c r="C14" s="8" t="n">
        <v>50</v>
      </c>
      <c r="D14" s="8" t="n">
        <v>8000</v>
      </c>
      <c r="E14" s="10"/>
      <c r="F14" s="10"/>
    </row>
    <row r="15" customFormat="false" ht="15" hidden="false" customHeight="false" outlineLevel="0" collapsed="false">
      <c r="A15" s="8" t="s">
        <v>25</v>
      </c>
      <c r="B15" s="8" t="n">
        <v>50</v>
      </c>
      <c r="C15" s="8" t="n">
        <v>150</v>
      </c>
      <c r="D15" s="8" t="n">
        <v>6000</v>
      </c>
      <c r="E15" s="10"/>
      <c r="F15" s="10"/>
    </row>
    <row r="16" customFormat="false" ht="15" hidden="false" customHeight="false" outlineLevel="0" collapsed="false">
      <c r="A16" s="8" t="s">
        <v>26</v>
      </c>
      <c r="B16" s="8" t="n">
        <v>20</v>
      </c>
      <c r="C16" s="8" t="n">
        <v>100</v>
      </c>
      <c r="D16" s="8" t="n">
        <v>4000</v>
      </c>
      <c r="E16" s="10"/>
      <c r="F16" s="10"/>
    </row>
    <row r="17" customFormat="false" ht="15" hidden="false" customHeight="false" outlineLevel="0" collapsed="false">
      <c r="A17" s="8" t="s">
        <v>27</v>
      </c>
      <c r="D17" s="10"/>
      <c r="E17" s="10"/>
      <c r="F17" s="10"/>
    </row>
    <row r="19" customFormat="false" ht="15" hidden="false" customHeight="false" outlineLevel="0" collapsed="false">
      <c r="A19" s="8" t="s">
        <v>28</v>
      </c>
    </row>
    <row r="20" customFormat="false" ht="15" hidden="false" customHeight="false" outlineLevel="0" collapsed="false">
      <c r="A20" s="8" t="s">
        <v>29</v>
      </c>
    </row>
    <row r="21" customFormat="false" ht="15" hidden="false" customHeight="false" outlineLevel="0" collapsed="false">
      <c r="A21" s="8" t="s">
        <v>30</v>
      </c>
    </row>
    <row r="22" customFormat="false" ht="15" hidden="false" customHeight="false" outlineLevel="0" collapsed="false">
      <c r="A22" s="8" t="s">
        <v>31</v>
      </c>
      <c r="B22" s="11"/>
    </row>
    <row r="23" customFormat="false" ht="15" hidden="false" customHeight="false" outlineLevel="0" collapsed="false">
      <c r="A23" s="8" t="s">
        <v>32</v>
      </c>
      <c r="B23" s="11"/>
    </row>
    <row r="25" customFormat="false" ht="15" hidden="false" customHeight="false" outlineLevel="0" collapsed="false">
      <c r="A25" s="8" t="s">
        <v>33</v>
      </c>
    </row>
    <row r="26" customFormat="false" ht="15" hidden="false" customHeight="false" outlineLevel="0" collapsed="false">
      <c r="A26" s="8" t="s">
        <v>34</v>
      </c>
    </row>
    <row r="28" customFormat="false" ht="15" hidden="false" customHeight="false" outlineLevel="0" collapsed="false">
      <c r="A28" s="8" t="s">
        <v>35</v>
      </c>
    </row>
    <row r="29" customFormat="false" ht="15" hidden="false" customHeight="false" outlineLevel="0" collapsed="false">
      <c r="A29" s="8" t="s">
        <v>36</v>
      </c>
    </row>
    <row r="30" customFormat="false" ht="15" hidden="false" customHeight="false" outlineLevel="0" collapsed="false">
      <c r="A30" s="8" t="s">
        <v>37</v>
      </c>
    </row>
    <row r="32" customFormat="false" ht="15" hidden="false" customHeight="false" outlineLevel="0" collapsed="false">
      <c r="A32" s="8" t="s">
        <v>38</v>
      </c>
      <c r="C32" s="11"/>
    </row>
    <row r="33" customFormat="false" ht="15" hidden="false" customHeight="false" outlineLevel="0" collapsed="false">
      <c r="A33" s="8" t="s">
        <v>39</v>
      </c>
      <c r="C33" s="11"/>
    </row>
    <row r="34" customFormat="false" ht="15" hidden="false" customHeight="false" outlineLevel="0" collapsed="false">
      <c r="A34" s="8" t="s">
        <v>40</v>
      </c>
      <c r="C34" s="11"/>
    </row>
    <row r="35" customFormat="false" ht="15" hidden="false" customHeight="false" outlineLevel="0" collapsed="false">
      <c r="A35" s="8" t="s">
        <v>41</v>
      </c>
      <c r="C35" s="11"/>
    </row>
    <row r="37" customFormat="false" ht="15" hidden="false" customHeight="false" outlineLevel="0" collapsed="false">
      <c r="A37" s="8" t="s">
        <v>42</v>
      </c>
      <c r="C37" s="10"/>
    </row>
    <row r="39" customFormat="false" ht="15" hidden="false" customHeight="false" outlineLevel="0" collapsed="false">
      <c r="A39" s="8" t="s">
        <v>43</v>
      </c>
    </row>
    <row r="41" customFormat="false" ht="15" hidden="false" customHeight="false" outlineLevel="0" collapsed="false">
      <c r="A41" s="8" t="s">
        <v>44</v>
      </c>
    </row>
    <row r="42" customFormat="false" ht="15" hidden="false" customHeight="false" outlineLevel="0" collapsed="false">
      <c r="A42" s="8" t="s">
        <v>38</v>
      </c>
      <c r="C42" s="11"/>
    </row>
    <row r="43" customFormat="false" ht="15" hidden="false" customHeight="false" outlineLevel="0" collapsed="false">
      <c r="A43" s="8" t="s">
        <v>39</v>
      </c>
      <c r="C43" s="11"/>
    </row>
    <row r="44" customFormat="false" ht="15" hidden="false" customHeight="false" outlineLevel="0" collapsed="false">
      <c r="A44" s="8" t="s">
        <v>40</v>
      </c>
      <c r="C44" s="11"/>
    </row>
    <row r="45" customFormat="false" ht="15" hidden="false" customHeight="false" outlineLevel="0" collapsed="false">
      <c r="A45" s="8" t="s">
        <v>41</v>
      </c>
      <c r="C45" s="11"/>
    </row>
    <row r="47" customFormat="false" ht="15" hidden="false" customHeight="false" outlineLevel="0" collapsed="false">
      <c r="A47" s="8" t="s">
        <v>45</v>
      </c>
      <c r="C47" s="10"/>
    </row>
    <row r="49" customFormat="false" ht="15" hidden="false" customHeight="false" outlineLevel="0" collapsed="false">
      <c r="A49" s="8" t="s">
        <v>46</v>
      </c>
    </row>
    <row r="50" customFormat="false" ht="15" hidden="false" customHeight="false" outlineLevel="0" collapsed="false">
      <c r="A50" s="8" t="s">
        <v>47</v>
      </c>
      <c r="B50" s="8" t="s">
        <v>48</v>
      </c>
    </row>
    <row r="51" customFormat="false" ht="15" hidden="false" customHeight="false" outlineLevel="0" collapsed="false">
      <c r="A51" s="8" t="s">
        <v>49</v>
      </c>
      <c r="C51" s="10"/>
    </row>
    <row r="53" customFormat="false" ht="15" hidden="false" customHeight="false" outlineLevel="0" collapsed="false">
      <c r="A53" s="8" t="s">
        <v>50</v>
      </c>
    </row>
    <row r="54" customFormat="false" ht="15" hidden="false" customHeight="false" outlineLevel="0" collapsed="false">
      <c r="A54" s="8" t="s">
        <v>51</v>
      </c>
    </row>
    <row r="55" customFormat="false" ht="15" hidden="false" customHeight="false" outlineLevel="0" collapsed="false">
      <c r="A55" s="8" t="s">
        <v>52</v>
      </c>
    </row>
    <row r="56" customFormat="false" ht="15" hidden="false" customHeight="false" outlineLevel="0" collapsed="false">
      <c r="A56" s="8" t="s">
        <v>53</v>
      </c>
      <c r="B56" s="8" t="s">
        <v>54</v>
      </c>
    </row>
  </sheetData>
  <mergeCells count="15">
    <mergeCell ref="A1:K1"/>
    <mergeCell ref="A2:K2"/>
    <mergeCell ref="A3:K3"/>
    <mergeCell ref="A4:K4"/>
    <mergeCell ref="H6:K6"/>
    <mergeCell ref="M6:O6"/>
    <mergeCell ref="H7:K7"/>
    <mergeCell ref="M7:O7"/>
    <mergeCell ref="H8:K8"/>
    <mergeCell ref="M8:N8"/>
    <mergeCell ref="H9:K9"/>
    <mergeCell ref="M9:N9"/>
    <mergeCell ref="H10:K10"/>
    <mergeCell ref="M10:N10"/>
    <mergeCell ref="M11:N11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5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8" min="8" style="0" width="20"/>
    <col collapsed="false" customWidth="true" hidden="false" outlineLevel="0" max="13" min="13" style="0" width="24"/>
    <col collapsed="false" customWidth="true" hidden="false" outlineLevel="0" max="15" min="15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" t="s">
        <v>55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true" outlineLevel="0" collapsed="false">
      <c r="A4" s="3" t="s">
        <v>56</v>
      </c>
      <c r="B4" s="3"/>
      <c r="C4" s="3"/>
      <c r="D4" s="3"/>
      <c r="E4" s="3"/>
      <c r="F4" s="3"/>
      <c r="G4" s="3"/>
      <c r="H4" s="3"/>
      <c r="I4" s="3"/>
      <c r="J4" s="3"/>
      <c r="K4" s="3"/>
    </row>
    <row r="6" customFormat="false" ht="15" hidden="false" customHeight="false" outlineLevel="0" collapsed="false">
      <c r="H6" s="1" t="s">
        <v>4</v>
      </c>
      <c r="I6" s="1"/>
      <c r="J6" s="1"/>
      <c r="K6" s="1"/>
      <c r="M6" s="1" t="s">
        <v>5</v>
      </c>
      <c r="N6" s="1"/>
      <c r="O6" s="1"/>
    </row>
    <row r="7" customFormat="false" ht="15" hidden="false" customHeight="true" outlineLevel="0" collapsed="false">
      <c r="H7" s="4" t="s">
        <v>6</v>
      </c>
      <c r="I7" s="4"/>
      <c r="J7" s="4"/>
      <c r="K7" s="4"/>
      <c r="M7" s="5" t="s">
        <v>7</v>
      </c>
      <c r="N7" s="5"/>
      <c r="O7" s="5"/>
    </row>
    <row r="8" customFormat="false" ht="23.85" hidden="false" customHeight="true" outlineLevel="0" collapsed="false">
      <c r="H8" s="4" t="s">
        <v>8</v>
      </c>
      <c r="I8" s="4"/>
      <c r="J8" s="4"/>
      <c r="K8" s="4"/>
      <c r="M8" s="6" t="s">
        <v>9</v>
      </c>
      <c r="N8" s="6"/>
      <c r="O8" s="7" t="n">
        <v>42.4264</v>
      </c>
    </row>
    <row r="9" customFormat="false" ht="23.85" hidden="false" customHeight="true" outlineLevel="0" collapsed="false">
      <c r="A9" s="8" t="s">
        <v>10</v>
      </c>
      <c r="H9" s="4" t="s">
        <v>11</v>
      </c>
      <c r="I9" s="4"/>
      <c r="J9" s="4"/>
      <c r="K9" s="4"/>
      <c r="M9" s="6" t="s">
        <v>12</v>
      </c>
      <c r="N9" s="6"/>
      <c r="O9" s="7" t="n">
        <v>63.2456</v>
      </c>
    </row>
    <row r="10" customFormat="false" ht="23.85" hidden="false" customHeight="true" outlineLevel="0" collapsed="false">
      <c r="H10" s="4" t="s">
        <v>13</v>
      </c>
      <c r="I10" s="4"/>
      <c r="J10" s="4"/>
      <c r="K10" s="4"/>
      <c r="M10" s="6" t="s">
        <v>14</v>
      </c>
      <c r="N10" s="6"/>
      <c r="O10" s="9" t="n">
        <v>4279527.0288</v>
      </c>
    </row>
    <row r="11" customFormat="false" ht="15" hidden="false" customHeight="false" outlineLevel="0" collapsed="false">
      <c r="A11" s="8" t="s">
        <v>15</v>
      </c>
      <c r="M11" s="6" t="s">
        <v>16</v>
      </c>
      <c r="N11" s="6"/>
      <c r="O11" s="9" t="n">
        <v>63503.4205</v>
      </c>
    </row>
    <row r="12" customFormat="false" ht="15" hidden="false" customHeight="false" outlineLevel="0" collapsed="false">
      <c r="A12" s="8" t="s">
        <v>17</v>
      </c>
      <c r="B12" s="8" t="s">
        <v>18</v>
      </c>
      <c r="C12" s="8" t="s">
        <v>19</v>
      </c>
      <c r="D12" s="8" t="s">
        <v>20</v>
      </c>
      <c r="E12" s="8" t="s">
        <v>21</v>
      </c>
      <c r="F12" s="8" t="s">
        <v>22</v>
      </c>
    </row>
    <row r="13" customFormat="false" ht="15" hidden="false" customHeight="false" outlineLevel="0" collapsed="false">
      <c r="A13" s="8" t="s">
        <v>23</v>
      </c>
      <c r="B13" s="8" t="n">
        <v>100</v>
      </c>
      <c r="C13" s="8" t="n">
        <v>200</v>
      </c>
      <c r="D13" s="8" t="n">
        <v>5000</v>
      </c>
      <c r="E13" s="10" t="n">
        <f aca="false">B13*D13</f>
        <v>500000</v>
      </c>
      <c r="F13" s="10" t="n">
        <f aca="false">C13*D13</f>
        <v>1000000</v>
      </c>
    </row>
    <row r="14" customFormat="false" ht="15" hidden="false" customHeight="false" outlineLevel="0" collapsed="false">
      <c r="A14" s="8" t="s">
        <v>24</v>
      </c>
      <c r="B14" s="8" t="n">
        <v>150</v>
      </c>
      <c r="C14" s="8" t="n">
        <v>50</v>
      </c>
      <c r="D14" s="8" t="n">
        <v>8000</v>
      </c>
      <c r="E14" s="10" t="n">
        <f aca="false">B14*D14</f>
        <v>1200000</v>
      </c>
      <c r="F14" s="10" t="n">
        <f aca="false">C14*D14</f>
        <v>400000</v>
      </c>
    </row>
    <row r="15" customFormat="false" ht="15" hidden="false" customHeight="false" outlineLevel="0" collapsed="false">
      <c r="A15" s="8" t="s">
        <v>25</v>
      </c>
      <c r="B15" s="8" t="n">
        <v>50</v>
      </c>
      <c r="C15" s="8" t="n">
        <v>150</v>
      </c>
      <c r="D15" s="8" t="n">
        <v>6000</v>
      </c>
      <c r="E15" s="10" t="n">
        <f aca="false">B15*D15</f>
        <v>300000</v>
      </c>
      <c r="F15" s="10" t="n">
        <f aca="false">C15*D15</f>
        <v>900000</v>
      </c>
    </row>
    <row r="16" customFormat="false" ht="15" hidden="false" customHeight="false" outlineLevel="0" collapsed="false">
      <c r="A16" s="8" t="s">
        <v>26</v>
      </c>
      <c r="B16" s="8" t="n">
        <v>20</v>
      </c>
      <c r="C16" s="8" t="n">
        <v>100</v>
      </c>
      <c r="D16" s="8" t="n">
        <v>4000</v>
      </c>
      <c r="E16" s="10" t="n">
        <f aca="false">B16*D16</f>
        <v>80000</v>
      </c>
      <c r="F16" s="10" t="n">
        <f aca="false">C16*D16</f>
        <v>400000</v>
      </c>
    </row>
    <row r="17" customFormat="false" ht="15" hidden="false" customHeight="false" outlineLevel="0" collapsed="false">
      <c r="A17" s="8" t="s">
        <v>27</v>
      </c>
      <c r="D17" s="10" t="n">
        <f aca="false">SUM(D13:D16)</f>
        <v>23000</v>
      </c>
      <c r="E17" s="10" t="n">
        <f aca="false">SUM(E13:E16)</f>
        <v>2080000</v>
      </c>
      <c r="F17" s="10" t="n">
        <f aca="false">SUM(F13:F16)</f>
        <v>2700000</v>
      </c>
    </row>
    <row r="19" customFormat="false" ht="15" hidden="false" customHeight="false" outlineLevel="0" collapsed="false">
      <c r="A19" s="8" t="s">
        <v>28</v>
      </c>
    </row>
    <row r="20" customFormat="false" ht="15" hidden="false" customHeight="false" outlineLevel="0" collapsed="false">
      <c r="A20" s="8" t="s">
        <v>29</v>
      </c>
    </row>
    <row r="21" customFormat="false" ht="15" hidden="false" customHeight="false" outlineLevel="0" collapsed="false">
      <c r="A21" s="8" t="s">
        <v>30</v>
      </c>
    </row>
    <row r="22" customFormat="false" ht="15" hidden="false" customHeight="false" outlineLevel="0" collapsed="false">
      <c r="A22" s="8" t="s">
        <v>31</v>
      </c>
      <c r="B22" s="11" t="n">
        <f aca="false">E17/D17</f>
        <v>90.4347826086957</v>
      </c>
    </row>
    <row r="23" customFormat="false" ht="15" hidden="false" customHeight="false" outlineLevel="0" collapsed="false">
      <c r="A23" s="8" t="s">
        <v>32</v>
      </c>
      <c r="B23" s="11" t="n">
        <f aca="false">F17/D17</f>
        <v>117.391304347826</v>
      </c>
    </row>
    <row r="25" customFormat="false" ht="15" hidden="false" customHeight="false" outlineLevel="0" collapsed="false">
      <c r="A25" s="8" t="s">
        <v>33</v>
      </c>
    </row>
    <row r="26" customFormat="false" ht="15" hidden="false" customHeight="false" outlineLevel="0" collapsed="false">
      <c r="A26" s="8" t="s">
        <v>34</v>
      </c>
    </row>
    <row r="28" customFormat="false" ht="15" hidden="false" customHeight="false" outlineLevel="0" collapsed="false">
      <c r="A28" s="8" t="s">
        <v>35</v>
      </c>
    </row>
    <row r="29" customFormat="false" ht="15" hidden="false" customHeight="false" outlineLevel="0" collapsed="false">
      <c r="A29" s="8" t="s">
        <v>36</v>
      </c>
    </row>
    <row r="30" customFormat="false" ht="15" hidden="false" customHeight="false" outlineLevel="0" collapsed="false">
      <c r="A30" s="8" t="s">
        <v>37</v>
      </c>
    </row>
    <row r="32" customFormat="false" ht="15" hidden="false" customHeight="false" outlineLevel="0" collapsed="false">
      <c r="A32" s="8" t="s">
        <v>38</v>
      </c>
      <c r="C32" s="11" t="n">
        <f aca="false">SQRT((B13-$B$22)^2+(C13-$B$23)^2)</f>
        <v>83.1606275896016</v>
      </c>
    </row>
    <row r="33" customFormat="false" ht="15" hidden="false" customHeight="false" outlineLevel="0" collapsed="false">
      <c r="A33" s="8" t="s">
        <v>39</v>
      </c>
      <c r="C33" s="11" t="n">
        <f aca="false">SQRT((B14-$B$22)^2+(C14-$B$23)^2)</f>
        <v>89.9422204783419</v>
      </c>
    </row>
    <row r="34" customFormat="false" ht="15" hidden="false" customHeight="false" outlineLevel="0" collapsed="false">
      <c r="A34" s="8" t="s">
        <v>40</v>
      </c>
      <c r="C34" s="11" t="n">
        <f aca="false">SQRT((B15-$B$22)^2+(C15-$B$23)^2)</f>
        <v>51.9451506567127</v>
      </c>
    </row>
    <row r="35" customFormat="false" ht="15" hidden="false" customHeight="false" outlineLevel="0" collapsed="false">
      <c r="A35" s="8" t="s">
        <v>41</v>
      </c>
      <c r="C35" s="11" t="n">
        <f aca="false">SQRT((B16-$B$22)^2+(C16-$B$23)^2)</f>
        <v>72.5500935082301</v>
      </c>
    </row>
    <row r="37" customFormat="false" ht="15" hidden="false" customHeight="false" outlineLevel="0" collapsed="false">
      <c r="A37" s="8" t="s">
        <v>42</v>
      </c>
      <c r="C37" s="10" t="n">
        <f aca="false">2.5*(C32*D13+C33*D14+C34*D15+C35*D16)</f>
        <v>4343030.44936985</v>
      </c>
    </row>
    <row r="39" customFormat="false" ht="15" hidden="false" customHeight="false" outlineLevel="0" collapsed="false">
      <c r="A39" s="8" t="s">
        <v>43</v>
      </c>
    </row>
    <row r="41" customFormat="false" ht="15" hidden="false" customHeight="false" outlineLevel="0" collapsed="false">
      <c r="A41" s="8" t="s">
        <v>44</v>
      </c>
    </row>
    <row r="42" customFormat="false" ht="15" hidden="false" customHeight="false" outlineLevel="0" collapsed="false">
      <c r="A42" s="8" t="s">
        <v>38</v>
      </c>
      <c r="C42" s="11" t="n">
        <f aca="false">SQRT((B13-80)^2+(C13-120)^2)</f>
        <v>82.4621125123532</v>
      </c>
    </row>
    <row r="43" customFormat="false" ht="15" hidden="false" customHeight="false" outlineLevel="0" collapsed="false">
      <c r="A43" s="8" t="s">
        <v>39</v>
      </c>
      <c r="C43" s="11" t="n">
        <f aca="false">SQRT((B14-80)^2+(C14-120)^2)</f>
        <v>98.9949493661167</v>
      </c>
    </row>
    <row r="44" customFormat="false" ht="15" hidden="false" customHeight="false" outlineLevel="0" collapsed="false">
      <c r="A44" s="8" t="s">
        <v>40</v>
      </c>
      <c r="C44" s="11" t="n">
        <f aca="false">SQRT((B15-80)^2+(C15-120)^2)</f>
        <v>42.4264068711929</v>
      </c>
    </row>
    <row r="45" customFormat="false" ht="15" hidden="false" customHeight="false" outlineLevel="0" collapsed="false">
      <c r="A45" s="8" t="s">
        <v>41</v>
      </c>
      <c r="C45" s="11" t="n">
        <f aca="false">SQRT((B16-80)^2+(C16-120)^2)</f>
        <v>63.2455532033676</v>
      </c>
    </row>
    <row r="47" customFormat="false" ht="15" hidden="false" customHeight="false" outlineLevel="0" collapsed="false">
      <c r="A47" s="8" t="s">
        <v>45</v>
      </c>
      <c r="C47" s="10" t="n">
        <f aca="false">2.5*(C42*D13+C43*D14+C44*D15+C45*D16)</f>
        <v>4279527.02882832</v>
      </c>
    </row>
    <row r="49" customFormat="false" ht="15" hidden="false" customHeight="false" outlineLevel="0" collapsed="false">
      <c r="A49" s="8" t="s">
        <v>46</v>
      </c>
    </row>
    <row r="50" customFormat="false" ht="15" hidden="false" customHeight="false" outlineLevel="0" collapsed="false">
      <c r="A50" s="8" t="s">
        <v>47</v>
      </c>
      <c r="B50" s="8" t="s">
        <v>48</v>
      </c>
    </row>
    <row r="51" customFormat="false" ht="15" hidden="false" customHeight="false" outlineLevel="0" collapsed="false">
      <c r="A51" s="8" t="s">
        <v>49</v>
      </c>
      <c r="C51" s="10" t="n">
        <f aca="false">ABS(C47-C37)</f>
        <v>63503.4205415323</v>
      </c>
    </row>
    <row r="53" customFormat="false" ht="15" hidden="false" customHeight="false" outlineLevel="0" collapsed="false">
      <c r="A53" s="8" t="s">
        <v>50</v>
      </c>
    </row>
    <row r="54" customFormat="false" ht="15" hidden="false" customHeight="false" outlineLevel="0" collapsed="false">
      <c r="A54" s="8" t="s">
        <v>51</v>
      </c>
    </row>
    <row r="55" customFormat="false" ht="15" hidden="false" customHeight="false" outlineLevel="0" collapsed="false">
      <c r="A55" s="8" t="s">
        <v>52</v>
      </c>
    </row>
    <row r="56" customFormat="false" ht="15" hidden="false" customHeight="false" outlineLevel="0" collapsed="false">
      <c r="A56" s="8" t="s">
        <v>53</v>
      </c>
      <c r="B56" s="8" t="s">
        <v>54</v>
      </c>
    </row>
  </sheetData>
  <mergeCells count="15">
    <mergeCell ref="A1:K1"/>
    <mergeCell ref="A2:K2"/>
    <mergeCell ref="A3:K3"/>
    <mergeCell ref="A4:K4"/>
    <mergeCell ref="H6:K6"/>
    <mergeCell ref="M6:O6"/>
    <mergeCell ref="H7:K7"/>
    <mergeCell ref="M7:O7"/>
    <mergeCell ref="H8:K8"/>
    <mergeCell ref="M8:N8"/>
    <mergeCell ref="H9:K9"/>
    <mergeCell ref="M9:N9"/>
    <mergeCell ref="H10:K10"/>
    <mergeCell ref="M10:N10"/>
    <mergeCell ref="M11:N11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2026-07-08T19:17:39Z</dcterms:created>
  <dc:creator>openpyxl</dc:creator>
  <dc:description/>
  <dc:language>en-US</dc:language>
  <cp:lastModifiedBy/>
  <dcterms:modified xsi:type="dcterms:W3CDTF">2026-07-08T19:17:39Z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