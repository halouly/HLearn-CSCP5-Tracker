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9 - BOM Explosion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<sst xmlns="http://schemas.openxmlformats.org/spreadsheetml/2006/main" count="116" uniqueCount="55">
  <si>
    <t xml:space="preserve">CASE 19: MRP BOM EXPLOSION WITH YIELD LOSSES</t>
  </si>
  <si>
    <t xml:space="preserve">Calculation Worksheet</t>
  </si>
  <si>
    <t xml:space="preserve">SCENARIO: Product A requires components with complex BOM structure.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</si>
  <si>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</si>
  <si>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</si>
  <si>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</si>
  <si>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(CPIM, skip for CSCP) Explode a multi-level BOM with scrap yield.</t>
  </si>
  <si>
    <t xml:space="preserve">Self-check targets.</t>
  </si>
  <si>
    <t xml:space="preserve">Your task: Compute component requirements accounting for yield loss.</t>
  </si>
  <si>
    <t xml:space="preserve">E Required</t>
  </si>
  <si>
    <t xml:space="preserve">Account for yield losses and calculate gross requirements.</t>
  </si>
  <si>
    <t xml:space="preserve">Approach: Inflate requirements by 1 ÷ yield at each level.</t>
  </si>
  <si>
    <t xml:space="preserve">Orders @ 500</t>
  </si>
  <si>
    <t xml:space="preserve">Time: ~20 min   •   Fill the shaded input cells, then check the ANSWER KEY sheet only after you finish.</t>
  </si>
  <si>
    <t xml:space="preserve">Cumulative Yield</t>
  </si>
  <si>
    <t xml:space="preserve">BILL OF MATERIAL:</t>
  </si>
  <si>
    <t xml:space="preserve">To produce 100 A, must start</t>
  </si>
  <si>
    <t xml:space="preserve">A (Finished Product)</t>
  </si>
  <si>
    <t xml:space="preserve">├── B (2 per A)  LT=1 week</t>
  </si>
  <si>
    <t xml:space="preserve">├── C (1 per A)  LT=2 weeks</t>
  </si>
  <si>
    <t xml:space="preserve">│   └── E (3 per C)  LT=1 week, Yield=90%</t>
  </si>
  <si>
    <t xml:space="preserve">└── D (4 per A)  LT=1 week</t>
  </si>
  <si>
    <t xml:space="preserve">    └── E (2 per D)  LT=1 week, Yield=90%</t>
  </si>
  <si>
    <t xml:space="preserve">Planned Order Release for A: 100 units in Week 5</t>
  </si>
  <si>
    <t xml:space="preserve">Q1: Calculate gross requirements for each component.</t>
  </si>
  <si>
    <t xml:space="preserve">    Formula: Parent PORel × Qty Per</t>
  </si>
  <si>
    <t xml:space="preserve">    Component B Gross Req:</t>
  </si>
  <si>
    <t xml:space="preserve">units</t>
  </si>
  <si>
    <t xml:space="preserve">    Component C Gross Req:</t>
  </si>
  <si>
    <t xml:space="preserve">    Component D Gross Req:</t>
  </si>
  <si>
    <t xml:space="preserve">Q2: Calculate E requirements through BOTH paths.</t>
  </si>
  <si>
    <t xml:space="preserve">    E through C: C qty × E per C =</t>
  </si>
  <si>
    <t xml:space="preserve">    E through D: D qty × E per D =</t>
  </si>
  <si>
    <t xml:space="preserve">    Total E Gross Req:</t>
  </si>
  <si>
    <t xml:space="preserve">Q3: Adjust for 90% yield on E (must START more to get required output).</t>
  </si>
  <si>
    <t xml:space="preserve">    Formula: Required Output / Yield %</t>
  </si>
  <si>
    <t xml:space="preserve">    E Start Quantity:</t>
  </si>
  <si>
    <t xml:space="preserve">Q4: When must orders be released? (Work backwards from Week 5)</t>
  </si>
  <si>
    <t xml:space="preserve">    A PORec Week 5 → A PORel Week:</t>
  </si>
  <si>
    <t xml:space="preserve">    B needed Week (A PORel - LT):</t>
  </si>
  <si>
    <t xml:space="preserve">    C needed Week:</t>
  </si>
  <si>
    <t xml:space="preserve">    D needed Week:</t>
  </si>
  <si>
    <t xml:space="preserve">    E for C path (Week C needs - E LT):</t>
  </si>
  <si>
    <t xml:space="preserve">    E for D path (Week D needs - E LT):</t>
  </si>
  <si>
    <t xml:space="preserve">Q5: If E has lot size of 500, how many orders needed?</t>
  </si>
  <si>
    <t xml:space="preserve">    E Required:</t>
  </si>
  <si>
    <t xml:space="preserve">    Orders @ 500:</t>
  </si>
  <si>
    <t xml:space="preserve">CUMULATIVE YIELD SCENARIO:</t>
  </si>
  <si>
    <t xml:space="preserve">Q6: If A has 3 operations each with 95% yield, what is cumulative yield?</t>
  </si>
  <si>
    <t xml:space="preserve">    Formula: Y1 × Y2 × Y3</t>
  </si>
  <si>
    <t xml:space="preserve">    Cumulative Yield:</t>
  </si>
  <si>
    <t xml:space="preserve">%</t>
  </si>
  <si>
    <t xml:space="preserve">    To produce 100 A, must start: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</si>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</sst>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5" style="0" width="20"/>
    <col collapsed="false" customWidth="true" hidden="false" outlineLevel="0" max="10" min="10" style="0" width="2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E6" s="1" t="s">
        <v>4</v>
      </c>
      <c r="F6" s="1"/>
      <c r="G6" s="1"/>
      <c r="H6" s="1"/>
      <c r="J6" s="1" t="s">
        <v>5</v>
      </c>
      <c r="K6" s="1"/>
      <c r="L6" s="1"/>
    </row>
    <row r="7" customFormat="false" ht="23.85" hidden="false" customHeight="true" outlineLevel="0" collapsed="false">
      <c r="E7" s="4" t="s">
        <v>6</v>
      </c>
      <c r="F7" s="4"/>
      <c r="G7" s="4"/>
      <c r="H7" s="4"/>
      <c r="J7" s="5" t="s">
        <v>7</v>
      </c>
      <c r="K7" s="5"/>
      <c r="L7" s="5"/>
    </row>
    <row r="8" customFormat="false" ht="23.85" hidden="false" customHeight="true" outlineLevel="0" collapsed="false">
      <c r="E8" s="4" t="s">
        <v>8</v>
      </c>
      <c r="F8" s="4"/>
      <c r="G8" s="4"/>
      <c r="H8" s="4"/>
      <c r="J8" s="6" t="s">
        <v>9</v>
      </c>
      <c r="K8" s="6"/>
      <c r="L8" s="7" t="n">
        <v>1222.2222</v>
      </c>
    </row>
    <row r="9" customFormat="false" ht="23.85" hidden="false" customHeight="true" outlineLevel="0" collapsed="false">
      <c r="A9" s="8" t="s">
        <v>10</v>
      </c>
      <c r="E9" s="4" t="s">
        <v>11</v>
      </c>
      <c r="F9" s="4"/>
      <c r="G9" s="4"/>
      <c r="H9" s="4"/>
      <c r="J9" s="6" t="s">
        <v>12</v>
      </c>
      <c r="K9" s="6"/>
      <c r="L9" s="7" t="n">
        <v>3</v>
      </c>
    </row>
    <row r="10" customFormat="false" ht="23.85" hidden="false" customHeight="true" outlineLevel="0" collapsed="false">
      <c r="E10" s="4" t="s">
        <v>13</v>
      </c>
      <c r="F10" s="4"/>
      <c r="G10" s="4"/>
      <c r="H10" s="4"/>
      <c r="J10" s="6" t="s">
        <v>14</v>
      </c>
      <c r="K10" s="6"/>
      <c r="L10" s="9" t="n">
        <v>0.8574</v>
      </c>
    </row>
    <row r="11" customFormat="false" ht="15" hidden="false" customHeight="false" outlineLevel="0" collapsed="false">
      <c r="A11" s="8" t="s">
        <v>15</v>
      </c>
      <c r="J11" s="6" t="s">
        <v>16</v>
      </c>
      <c r="K11" s="6"/>
      <c r="L11" s="7" t="n">
        <v>116.6351</v>
      </c>
    </row>
    <row r="12" customFormat="false" ht="15" hidden="false" customHeight="false" outlineLevel="0" collapsed="false">
      <c r="A12" s="8" t="s">
        <v>17</v>
      </c>
    </row>
    <row r="13" customFormat="false" ht="15" hidden="false" customHeight="false" outlineLevel="0" collapsed="false">
      <c r="A13" s="8" t="s">
        <v>18</v>
      </c>
    </row>
    <row r="14" customFormat="false" ht="15" hidden="false" customHeight="false" outlineLevel="0" collapsed="false">
      <c r="A14" s="8" t="s">
        <v>19</v>
      </c>
    </row>
    <row r="15" customFormat="false" ht="15" hidden="false" customHeight="false" outlineLevel="0" collapsed="false">
      <c r="A15" s="8" t="s">
        <v>20</v>
      </c>
    </row>
    <row r="16" customFormat="false" ht="15" hidden="false" customHeight="false" outlineLevel="0" collapsed="false">
      <c r="A16" s="8" t="s">
        <v>21</v>
      </c>
    </row>
    <row r="17" customFormat="false" ht="15" hidden="false" customHeight="false" outlineLevel="0" collapsed="false">
      <c r="A17" s="8" t="s">
        <v>22</v>
      </c>
    </row>
    <row r="19" customFormat="false" ht="15" hidden="false" customHeight="false" outlineLevel="0" collapsed="false">
      <c r="A19" s="8" t="s">
        <v>23</v>
      </c>
    </row>
    <row r="21" customFormat="false" ht="15" hidden="false" customHeight="false" outlineLevel="0" collapsed="false">
      <c r="A21" s="8" t="s">
        <v>24</v>
      </c>
    </row>
    <row r="22" customFormat="false" ht="15" hidden="false" customHeight="false" outlineLevel="0" collapsed="false">
      <c r="A22" s="8" t="s">
        <v>25</v>
      </c>
    </row>
    <row r="24" customFormat="false" ht="15" hidden="false" customHeight="false" outlineLevel="0" collapsed="false">
      <c r="A24" s="8" t="s">
        <v>26</v>
      </c>
      <c r="B24" s="10"/>
      <c r="C24" s="8" t="s">
        <v>27</v>
      </c>
    </row>
    <row r="25" customFormat="false" ht="15" hidden="false" customHeight="false" outlineLevel="0" collapsed="false">
      <c r="A25" s="8" t="s">
        <v>28</v>
      </c>
      <c r="B25" s="10"/>
      <c r="C25" s="8" t="s">
        <v>27</v>
      </c>
    </row>
    <row r="26" customFormat="false" ht="15" hidden="false" customHeight="false" outlineLevel="0" collapsed="false">
      <c r="A26" s="8" t="s">
        <v>29</v>
      </c>
      <c r="B26" s="10"/>
      <c r="C26" s="8" t="s">
        <v>27</v>
      </c>
    </row>
    <row r="28" customFormat="false" ht="15" hidden="false" customHeight="false" outlineLevel="0" collapsed="false">
      <c r="A28" s="8" t="s">
        <v>30</v>
      </c>
    </row>
    <row r="29" customFormat="false" ht="15" hidden="false" customHeight="false" outlineLevel="0" collapsed="false">
      <c r="A29" s="8" t="s">
        <v>31</v>
      </c>
      <c r="B29" s="10"/>
    </row>
    <row r="30" customFormat="false" ht="15" hidden="false" customHeight="false" outlineLevel="0" collapsed="false">
      <c r="A30" s="8" t="s">
        <v>32</v>
      </c>
      <c r="B30" s="10"/>
    </row>
    <row r="31" customFormat="false" ht="15" hidden="false" customHeight="false" outlineLevel="0" collapsed="false">
      <c r="A31" s="8" t="s">
        <v>33</v>
      </c>
      <c r="B31" s="10"/>
      <c r="C31" s="8" t="s">
        <v>27</v>
      </c>
    </row>
    <row r="33" customFormat="false" ht="15" hidden="false" customHeight="false" outlineLevel="0" collapsed="false">
      <c r="A33" s="8" t="s">
        <v>34</v>
      </c>
    </row>
    <row r="34" customFormat="false" ht="15" hidden="false" customHeight="false" outlineLevel="0" collapsed="false">
      <c r="A34" s="8" t="s">
        <v>35</v>
      </c>
    </row>
    <row r="35" customFormat="false" ht="15" hidden="false" customHeight="false" outlineLevel="0" collapsed="false">
      <c r="A35" s="8" t="s">
        <v>36</v>
      </c>
      <c r="B35" s="10"/>
      <c r="C35" s="8" t="s">
        <v>27</v>
      </c>
    </row>
    <row r="37" customFormat="false" ht="15" hidden="false" customHeight="false" outlineLevel="0" collapsed="false">
      <c r="A37" s="8" t="s">
        <v>37</v>
      </c>
    </row>
    <row r="38" customFormat="false" ht="15" hidden="false" customHeight="false" outlineLevel="0" collapsed="false">
      <c r="A38" s="8" t="s">
        <v>38</v>
      </c>
    </row>
    <row r="39" customFormat="false" ht="15" hidden="false" customHeight="false" outlineLevel="0" collapsed="false">
      <c r="A39" s="8" t="s">
        <v>39</v>
      </c>
    </row>
    <row r="40" customFormat="false" ht="15" hidden="false" customHeight="false" outlineLevel="0" collapsed="false">
      <c r="A40" s="8" t="s">
        <v>40</v>
      </c>
    </row>
    <row r="41" customFormat="false" ht="15" hidden="false" customHeight="false" outlineLevel="0" collapsed="false">
      <c r="A41" s="8" t="s">
        <v>41</v>
      </c>
    </row>
    <row r="42" customFormat="false" ht="15" hidden="false" customHeight="false" outlineLevel="0" collapsed="false">
      <c r="A42" s="8" t="s">
        <v>42</v>
      </c>
    </row>
    <row r="43" customFormat="false" ht="15" hidden="false" customHeight="false" outlineLevel="0" collapsed="false">
      <c r="A43" s="8" t="s">
        <v>43</v>
      </c>
    </row>
    <row r="45" customFormat="false" ht="15" hidden="false" customHeight="false" outlineLevel="0" collapsed="false">
      <c r="A45" s="8" t="s">
        <v>44</v>
      </c>
    </row>
    <row r="46" customFormat="false" ht="15" hidden="false" customHeight="false" outlineLevel="0" collapsed="false">
      <c r="A46" s="8" t="s">
        <v>45</v>
      </c>
      <c r="B46" s="10"/>
    </row>
    <row r="47" customFormat="false" ht="15" hidden="false" customHeight="false" outlineLevel="0" collapsed="false">
      <c r="A47" s="8" t="s">
        <v>46</v>
      </c>
      <c r="B47" s="10"/>
    </row>
    <row r="49" customFormat="false" ht="15" hidden="false" customHeight="false" outlineLevel="0" collapsed="false">
      <c r="A49" s="8" t="s">
        <v>47</v>
      </c>
    </row>
    <row r="50" customFormat="false" ht="15" hidden="false" customHeight="false" outlineLevel="0" collapsed="false">
      <c r="A50" s="8" t="s">
        <v>48</v>
      </c>
    </row>
    <row r="51" customFormat="false" ht="15" hidden="false" customHeight="false" outlineLevel="0" collapsed="false">
      <c r="A51" s="8" t="s">
        <v>49</v>
      </c>
    </row>
    <row r="52" customFormat="false" ht="15" hidden="false" customHeight="false" outlineLevel="0" collapsed="false">
      <c r="A52" s="8" t="s">
        <v>50</v>
      </c>
      <c r="B52" s="11"/>
      <c r="C52" s="8" t="s">
        <v>51</v>
      </c>
    </row>
    <row r="53" customFormat="false" ht="15" hidden="false" customHeight="false" outlineLevel="0" collapsed="false">
      <c r="A53" s="8" t="s">
        <v>52</v>
      </c>
      <c r="B53" s="10"/>
      <c r="C53" s="8" t="s">
        <v>27</v>
      </c>
    </row>
  </sheetData>
  <mergeCells count="15">
    <mergeCell ref="A1:H1"/>
    <mergeCell ref="A2:H2"/>
    <mergeCell ref="A3:H3"/>
    <mergeCell ref="A4:H4"/>
    <mergeCell ref="E6:H6"/>
    <mergeCell ref="J6:L6"/>
    <mergeCell ref="E7:H7"/>
    <mergeCell ref="J7:L7"/>
    <mergeCell ref="E8:H8"/>
    <mergeCell ref="J8:K8"/>
    <mergeCell ref="E9:H9"/>
    <mergeCell ref="J9:K9"/>
    <mergeCell ref="E10:H10"/>
    <mergeCell ref="J10:K10"/>
    <mergeCell ref="J11:K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5" style="0" width="20"/>
    <col collapsed="false" customWidth="true" hidden="false" outlineLevel="0" max="10" min="10" style="0" width="2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 t="s">
        <v>53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54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E6" s="1" t="s">
        <v>4</v>
      </c>
      <c r="F6" s="1"/>
      <c r="G6" s="1"/>
      <c r="H6" s="1"/>
      <c r="J6" s="1" t="s">
        <v>5</v>
      </c>
      <c r="K6" s="1"/>
      <c r="L6" s="1"/>
    </row>
    <row r="7" customFormat="false" ht="23.85" hidden="false" customHeight="true" outlineLevel="0" collapsed="false">
      <c r="E7" s="4" t="s">
        <v>6</v>
      </c>
      <c r="F7" s="4"/>
      <c r="G7" s="4"/>
      <c r="H7" s="4"/>
      <c r="J7" s="5" t="s">
        <v>7</v>
      </c>
      <c r="K7" s="5"/>
      <c r="L7" s="5"/>
    </row>
    <row r="8" customFormat="false" ht="23.85" hidden="false" customHeight="true" outlineLevel="0" collapsed="false">
      <c r="E8" s="4" t="s">
        <v>8</v>
      </c>
      <c r="F8" s="4"/>
      <c r="G8" s="4"/>
      <c r="H8" s="4"/>
      <c r="J8" s="6" t="s">
        <v>9</v>
      </c>
      <c r="K8" s="6"/>
      <c r="L8" s="7" t="n">
        <v>1222.2222</v>
      </c>
    </row>
    <row r="9" customFormat="false" ht="23.85" hidden="false" customHeight="true" outlineLevel="0" collapsed="false">
      <c r="A9" s="8" t="s">
        <v>10</v>
      </c>
      <c r="E9" s="4" t="s">
        <v>11</v>
      </c>
      <c r="F9" s="4"/>
      <c r="G9" s="4"/>
      <c r="H9" s="4"/>
      <c r="J9" s="6" t="s">
        <v>12</v>
      </c>
      <c r="K9" s="6"/>
      <c r="L9" s="7" t="n">
        <v>3</v>
      </c>
    </row>
    <row r="10" customFormat="false" ht="23.85" hidden="false" customHeight="true" outlineLevel="0" collapsed="false">
      <c r="E10" s="4" t="s">
        <v>13</v>
      </c>
      <c r="F10" s="4"/>
      <c r="G10" s="4"/>
      <c r="H10" s="4"/>
      <c r="J10" s="6" t="s">
        <v>14</v>
      </c>
      <c r="K10" s="6"/>
      <c r="L10" s="9" t="n">
        <v>0.8574</v>
      </c>
    </row>
    <row r="11" customFormat="false" ht="15" hidden="false" customHeight="false" outlineLevel="0" collapsed="false">
      <c r="A11" s="8" t="s">
        <v>15</v>
      </c>
      <c r="J11" s="6" t="s">
        <v>16</v>
      </c>
      <c r="K11" s="6"/>
      <c r="L11" s="7" t="n">
        <v>116.6351</v>
      </c>
    </row>
    <row r="12" customFormat="false" ht="15" hidden="false" customHeight="false" outlineLevel="0" collapsed="false">
      <c r="A12" s="8" t="s">
        <v>17</v>
      </c>
    </row>
    <row r="13" customFormat="false" ht="15" hidden="false" customHeight="false" outlineLevel="0" collapsed="false">
      <c r="A13" s="8" t="s">
        <v>18</v>
      </c>
    </row>
    <row r="14" customFormat="false" ht="15" hidden="false" customHeight="false" outlineLevel="0" collapsed="false">
      <c r="A14" s="8" t="s">
        <v>19</v>
      </c>
    </row>
    <row r="15" customFormat="false" ht="15" hidden="false" customHeight="false" outlineLevel="0" collapsed="false">
      <c r="A15" s="8" t="s">
        <v>20</v>
      </c>
    </row>
    <row r="16" customFormat="false" ht="15" hidden="false" customHeight="false" outlineLevel="0" collapsed="false">
      <c r="A16" s="8" t="s">
        <v>21</v>
      </c>
    </row>
    <row r="17" customFormat="false" ht="15" hidden="false" customHeight="false" outlineLevel="0" collapsed="false">
      <c r="A17" s="8" t="s">
        <v>22</v>
      </c>
    </row>
    <row r="19" customFormat="false" ht="15" hidden="false" customHeight="false" outlineLevel="0" collapsed="false">
      <c r="A19" s="8" t="s">
        <v>23</v>
      </c>
    </row>
    <row r="21" customFormat="false" ht="15" hidden="false" customHeight="false" outlineLevel="0" collapsed="false">
      <c r="A21" s="8" t="s">
        <v>24</v>
      </c>
    </row>
    <row r="22" customFormat="false" ht="15" hidden="false" customHeight="false" outlineLevel="0" collapsed="false">
      <c r="A22" s="8" t="s">
        <v>25</v>
      </c>
    </row>
    <row r="24" customFormat="false" ht="15" hidden="false" customHeight="false" outlineLevel="0" collapsed="false">
      <c r="A24" s="8" t="s">
        <v>26</v>
      </c>
      <c r="B24" s="10" t="n">
        <f aca="false">100*2</f>
        <v>200</v>
      </c>
      <c r="C24" s="8" t="s">
        <v>27</v>
      </c>
    </row>
    <row r="25" customFormat="false" ht="15" hidden="false" customHeight="false" outlineLevel="0" collapsed="false">
      <c r="A25" s="8" t="s">
        <v>28</v>
      </c>
      <c r="B25" s="10" t="n">
        <f aca="false">100*1</f>
        <v>100</v>
      </c>
      <c r="C25" s="8" t="s">
        <v>27</v>
      </c>
    </row>
    <row r="26" customFormat="false" ht="15" hidden="false" customHeight="false" outlineLevel="0" collapsed="false">
      <c r="A26" s="8" t="s">
        <v>29</v>
      </c>
      <c r="B26" s="10" t="n">
        <f aca="false">100*4</f>
        <v>400</v>
      </c>
      <c r="C26" s="8" t="s">
        <v>27</v>
      </c>
    </row>
    <row r="28" customFormat="false" ht="15" hidden="false" customHeight="false" outlineLevel="0" collapsed="false">
      <c r="A28" s="8" t="s">
        <v>30</v>
      </c>
    </row>
    <row r="29" customFormat="false" ht="15" hidden="false" customHeight="false" outlineLevel="0" collapsed="false">
      <c r="A29" s="8" t="s">
        <v>31</v>
      </c>
      <c r="B29" s="10" t="n">
        <f aca="false">B25*3</f>
        <v>300</v>
      </c>
    </row>
    <row r="30" customFormat="false" ht="15" hidden="false" customHeight="false" outlineLevel="0" collapsed="false">
      <c r="A30" s="8" t="s">
        <v>32</v>
      </c>
      <c r="B30" s="10" t="n">
        <f aca="false">B26*2</f>
        <v>800</v>
      </c>
    </row>
    <row r="31" customFormat="false" ht="15" hidden="false" customHeight="false" outlineLevel="0" collapsed="false">
      <c r="A31" s="8" t="s">
        <v>33</v>
      </c>
      <c r="B31" s="10" t="n">
        <f aca="false">B29+B30</f>
        <v>1100</v>
      </c>
      <c r="C31" s="8" t="s">
        <v>27</v>
      </c>
    </row>
    <row r="33" customFormat="false" ht="15" hidden="false" customHeight="false" outlineLevel="0" collapsed="false">
      <c r="A33" s="8" t="s">
        <v>34</v>
      </c>
    </row>
    <row r="34" customFormat="false" ht="15" hidden="false" customHeight="false" outlineLevel="0" collapsed="false">
      <c r="A34" s="8" t="s">
        <v>35</v>
      </c>
    </row>
    <row r="35" customFormat="false" ht="15" hidden="false" customHeight="false" outlineLevel="0" collapsed="false">
      <c r="A35" s="8" t="s">
        <v>36</v>
      </c>
      <c r="B35" s="10" t="n">
        <f aca="false">B31/0.9</f>
        <v>1222.22222222222</v>
      </c>
      <c r="C35" s="8" t="s">
        <v>27</v>
      </c>
    </row>
    <row r="37" customFormat="false" ht="15" hidden="false" customHeight="false" outlineLevel="0" collapsed="false">
      <c r="A37" s="8" t="s">
        <v>37</v>
      </c>
    </row>
    <row r="38" customFormat="false" ht="15" hidden="false" customHeight="false" outlineLevel="0" collapsed="false">
      <c r="A38" s="8" t="s">
        <v>38</v>
      </c>
    </row>
    <row r="39" customFormat="false" ht="15" hidden="false" customHeight="false" outlineLevel="0" collapsed="false">
      <c r="A39" s="8" t="s">
        <v>39</v>
      </c>
    </row>
    <row r="40" customFormat="false" ht="15" hidden="false" customHeight="false" outlineLevel="0" collapsed="false">
      <c r="A40" s="8" t="s">
        <v>40</v>
      </c>
    </row>
    <row r="41" customFormat="false" ht="15" hidden="false" customHeight="false" outlineLevel="0" collapsed="false">
      <c r="A41" s="8" t="s">
        <v>41</v>
      </c>
    </row>
    <row r="42" customFormat="false" ht="15" hidden="false" customHeight="false" outlineLevel="0" collapsed="false">
      <c r="A42" s="8" t="s">
        <v>42</v>
      </c>
    </row>
    <row r="43" customFormat="false" ht="15" hidden="false" customHeight="false" outlineLevel="0" collapsed="false">
      <c r="A43" s="8" t="s">
        <v>43</v>
      </c>
    </row>
    <row r="45" customFormat="false" ht="15" hidden="false" customHeight="false" outlineLevel="0" collapsed="false">
      <c r="A45" s="8" t="s">
        <v>44</v>
      </c>
    </row>
    <row r="46" customFormat="false" ht="15" hidden="false" customHeight="false" outlineLevel="0" collapsed="false">
      <c r="A46" s="8" t="s">
        <v>45</v>
      </c>
      <c r="B46" s="10" t="n">
        <f aca="false">B35</f>
        <v>1222.22222222222</v>
      </c>
    </row>
    <row r="47" customFormat="false" ht="15" hidden="false" customHeight="false" outlineLevel="0" collapsed="false">
      <c r="A47" s="8" t="s">
        <v>46</v>
      </c>
      <c r="B47" s="10" t="n">
        <f aca="false">CEILING(B46/500,1)</f>
        <v>3</v>
      </c>
    </row>
    <row r="49" customFormat="false" ht="15" hidden="false" customHeight="false" outlineLevel="0" collapsed="false">
      <c r="A49" s="8" t="s">
        <v>47</v>
      </c>
    </row>
    <row r="50" customFormat="false" ht="15" hidden="false" customHeight="false" outlineLevel="0" collapsed="false">
      <c r="A50" s="8" t="s">
        <v>48</v>
      </c>
    </row>
    <row r="51" customFormat="false" ht="15" hidden="false" customHeight="false" outlineLevel="0" collapsed="false">
      <c r="A51" s="8" t="s">
        <v>49</v>
      </c>
    </row>
    <row r="52" customFormat="false" ht="15" hidden="false" customHeight="false" outlineLevel="0" collapsed="false">
      <c r="A52" s="8" t="s">
        <v>50</v>
      </c>
      <c r="B52" s="11" t="n">
        <f aca="false">0.95^3</f>
        <v>0.857375</v>
      </c>
      <c r="C52" s="8" t="s">
        <v>51</v>
      </c>
    </row>
    <row r="53" customFormat="false" ht="15" hidden="false" customHeight="false" outlineLevel="0" collapsed="false">
      <c r="A53" s="8" t="s">
        <v>52</v>
      </c>
      <c r="B53" s="10" t="n">
        <f aca="false">100/B52</f>
        <v>116.635077999708</v>
      </c>
      <c r="C53" s="8" t="s">
        <v>27</v>
      </c>
    </row>
  </sheetData>
  <mergeCells count="15">
    <mergeCell ref="A1:H1"/>
    <mergeCell ref="A2:H2"/>
    <mergeCell ref="A3:H3"/>
    <mergeCell ref="A4:H4"/>
    <mergeCell ref="E6:H6"/>
    <mergeCell ref="J6:L6"/>
    <mergeCell ref="E7:H7"/>
    <mergeCell ref="J7:L7"/>
    <mergeCell ref="E8:H8"/>
    <mergeCell ref="J8:K8"/>
    <mergeCell ref="E9:H9"/>
    <mergeCell ref="J9:K9"/>
    <mergeCell ref="E10:H10"/>
    <mergeCell ref="J10:K10"/>
    <mergeCell ref="J11:K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