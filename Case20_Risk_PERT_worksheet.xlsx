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0 - Risk &amp; PERT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<sst xmlns="http://schemas.openxmlformats.org/spreadsheetml/2006/main" count="215" uniqueCount="107">
  <si>
    <t xml:space="preserve">CASE 20: PROJECT RISK ANALYSIS — PERT ESTIMATES &amp; RISK RATING</t>
  </si>
  <si>
    <t xml:space="preserve">Calculation Worksheet</t>
  </si>
  <si>
    <t xml:space="preserve">SCENARIO: A supply chain improvement project has uncertain task durations and risks.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</si>
  <si>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</si>
  <si>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</si>
  <si>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</si>
  <si>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Assess and prioritize supply-chain risks.</t>
  </si>
  <si>
    <t xml:space="preserve">Self-check targets.</t>
  </si>
  <si>
    <t xml:space="preserve">Your task: Compute risk ratings (probability × impact) and PERT expected durations.</t>
  </si>
  <si>
    <t xml:space="preserve">Resource unavailable</t>
  </si>
  <si>
    <t xml:space="preserve">Use PERT for time estimates and Risk Rating for prioritization.</t>
  </si>
  <si>
    <t xml:space="preserve">Approach: Rank risks by score; PERT expected = (optimistic + 4×most-likely + pessimistic) ÷ 6.</t>
  </si>
  <si>
    <t xml:space="preserve">Tech issues</t>
  </si>
  <si>
    <t xml:space="preserve">Time: ~25 min   •   Fill the shaded input cells, then check the ANSWER KEY sheet only after you finish.</t>
  </si>
  <si>
    <t xml:space="preserve">Budget overrun</t>
  </si>
  <si>
    <t xml:space="preserve">PROJECT TASKS - TIME ESTIMATES (weeks)</t>
  </si>
  <si>
    <t xml:space="preserve">Expected Cost</t>
  </si>
  <si>
    <t xml:space="preserve">Task</t>
  </si>
  <si>
    <t xml:space="preserve">Optimistic (O)</t>
  </si>
  <si>
    <t xml:space="preserve">Most Likely (M)</t>
  </si>
  <si>
    <t xml:space="preserve">Pessimistic (P)</t>
  </si>
  <si>
    <t xml:space="preserve">PERT Expected</t>
  </si>
  <si>
    <t xml:space="preserve">Variance</t>
  </si>
  <si>
    <t xml:space="preserve">EMV — Supplier A</t>
  </si>
  <si>
    <t xml:space="preserve">$126K</t>
  </si>
  <si>
    <t xml:space="preserve">A - Requirements</t>
  </si>
  <si>
    <t xml:space="preserve">EMV — Supplier B (best)</t>
  </si>
  <si>
    <t xml:space="preserve">$144K</t>
  </si>
  <si>
    <t xml:space="preserve">B - Vendor Selection</t>
  </si>
  <si>
    <t xml:space="preserve">EMV — Supplier C</t>
  </si>
  <si>
    <t xml:space="preserve">$131K</t>
  </si>
  <si>
    <t xml:space="preserve">C - System Config</t>
  </si>
  <si>
    <t xml:space="preserve">EVwPI</t>
  </si>
  <si>
    <t xml:space="preserve">$153K</t>
  </si>
  <si>
    <t xml:space="preserve">D - Testing</t>
  </si>
  <si>
    <t xml:space="preserve">EVPI</t>
  </si>
  <si>
    <t xml:space="preserve">$9K</t>
  </si>
  <si>
    <t xml:space="preserve">E - Training</t>
  </si>
  <si>
    <t xml:space="preserve">F - Go-Live</t>
  </si>
  <si>
    <t xml:space="preserve">Q1: Calculate PERT expected time for each task.</t>
  </si>
  <si>
    <t xml:space="preserve">    Formula: (O + 4M + P) / 6</t>
  </si>
  <si>
    <t xml:space="preserve">Q2: Which task has the highest uncertainty?</t>
  </si>
  <si>
    <t xml:space="preserve">    Variance Formula: [(P - O) / 6]²</t>
  </si>
  <si>
    <t xml:space="preserve">Task C (widest O–P range = 8 wks, highest variance)</t>
  </si>
  <si>
    <t xml:space="preserve">    Most Uncertain Task:</t>
  </si>
  <si>
    <t xml:space="preserve">Q3: Calculate total project duration (assume sequential).</t>
  </si>
  <si>
    <t xml:space="preserve">    Total PERT Duration:</t>
  </si>
  <si>
    <t xml:space="preserve">weeks</t>
  </si>
  <si>
    <t xml:space="preserve">RISK ASSESSMENT:</t>
  </si>
  <si>
    <t xml:space="preserve">Risk Event</t>
  </si>
  <si>
    <t xml:space="preserve">Probability (1-5)</t>
  </si>
  <si>
    <t xml:space="preserve">Impact (1-5)</t>
  </si>
  <si>
    <t xml:space="preserve">Risk Rating</t>
  </si>
  <si>
    <t xml:space="preserve">Priority</t>
  </si>
  <si>
    <t xml:space="preserve">Vendor delays</t>
  </si>
  <si>
    <t xml:space="preserve">Scope creep</t>
  </si>
  <si>
    <t xml:space="preserve">Q4: Calculate Risk Rating for each.</t>
  </si>
  <si>
    <t xml:space="preserve">    Formula: Probability × Impact</t>
  </si>
  <si>
    <t xml:space="preserve">Q5: Rank risks from highest to lowest priority.</t>
  </si>
  <si>
    <t xml:space="preserve">    1st:</t>
  </si>
  <si>
    <t xml:space="preserve">Vendor delays (20)</t>
  </si>
  <si>
    <t xml:space="preserve">    2nd:</t>
  </si>
  <si>
    <t xml:space="preserve">Tech issues (15)</t>
  </si>
  <si>
    <t xml:space="preserve">    3rd:</t>
  </si>
  <si>
    <t xml:space="preserve">Scope creep (12)</t>
  </si>
  <si>
    <t xml:space="preserve">COST ESTIMATION:</t>
  </si>
  <si>
    <t xml:space="preserve">Optimistic</t>
  </si>
  <si>
    <t xml:space="preserve">Most Likely</t>
  </si>
  <si>
    <t xml:space="preserve">Pessimistic</t>
  </si>
  <si>
    <t xml:space="preserve">Project Cost ($000)</t>
  </si>
  <si>
    <t xml:space="preserve">Q6: Calculate PERT cost estimate.</t>
  </si>
  <si>
    <t xml:space="preserve">    Expected Cost:</t>
  </si>
  <si>
    <t xml:space="preserve">$000</t>
  </si>
  <si>
    <t xml:space="preserve">EXPECTED MONETARY VALUE (EMV) — SUPPLIER DECISION</t>
  </si>
  <si>
    <t xml:space="preserve">After completing PERT &amp; risk, evaluate three supplier options under uncertain demand. EMV = Σ (probability × payoff). Choose the option with the highest EMV.</t>
  </si>
  <si>
    <t xml:space="preserve">Demand Scenario</t>
  </si>
  <si>
    <t xml:space="preserve">Probability</t>
  </si>
  <si>
    <t xml:space="preserve">Supplier A ($000)</t>
  </si>
  <si>
    <t xml:space="preserve">Supplier B ($000)</t>
  </si>
  <si>
    <t xml:space="preserve">Supplier C ($000)</t>
  </si>
  <si>
    <t xml:space="preserve">Best under Certainty</t>
  </si>
  <si>
    <t xml:space="preserve">High</t>
  </si>
  <si>
    <t xml:space="preserve">Medium</t>
  </si>
  <si>
    <t xml:space="preserve">Low</t>
  </si>
  <si>
    <t xml:space="preserve">EMV (Σ Prob × Payoff)</t>
  </si>
  <si>
    <t xml:space="preserve">Best Choice (max EMV)</t>
  </si>
  <si>
    <t xml:space="preserve">EMV =</t>
  </si>
  <si>
    <t xml:space="preserve">EXPECTED VALUE OF PERFECT INFORMATION (EVPI): pay to know the demand scenario in advance so the best supplier is picked for each.</t>
  </si>
  <si>
    <t xml:space="preserve">EVwPI = Σ Prob × Best</t>
  </si>
  <si>
    <t xml:space="preserve">EVPI = EVwPI − Max EMV</t>
  </si>
  <si>
    <t xml:space="preserve">EMV QUESTIONS</t>
  </si>
  <si>
    <t xml:space="preserve">Q7: What is the EMV for each supplier?</t>
  </si>
  <si>
    <t xml:space="preserve">Answer:</t>
  </si>
  <si>
    <t xml:space="preserve">Q8: Which supplier should be chosen on EMV grounds, and why?</t>
  </si>
  <si>
    <t xml:space="preserve">Q9: What is the EVPI, and what does it represent?</t>
  </si>
  <si>
    <t xml:space="preserve">Q10: When does EMV break down as a decision rule?</t>
  </si>
  <si>
    <t xml:space="preserve">Q11: How does EMV relate to the PERT expected time above?</t>
  </si>
  <si>
    <t xml:space="preserve">Solution Key</t>
  </si>
  <si>
    <t xml:space="preserve">SOLUTION: green cells show worked answers; blue cells are the given inputs.</t>
  </si>
  <si>
    <t xml:space="preserve">$132K</t>
  </si>
  <si>
    <t xml:space="preserve">$158K</t>
  </si>
  <si>
    <t xml:space="preserve">$14K</t>
  </si>
  <si>
    <t xml:space="preserve">A: $126K  |  B: $144K  |  C: $132K (Σ Prob × Payoff).</t>
  </si>
  <si>
    <t xml:space="preserve">Supplier B ($144K) — highest expected profit weighted by scenario probabilities.</t>
  </si>
  <si>
    <t xml:space="preserve">EVPI = $14K. Maximum a rational decision-maker would pay for perfect demand information (EVwPI $158K − Max EMV $144K).</t>
  </si>
  <si>
    <t xml:space="preserve">One-shot high-stakes decisions where the low-probability tail is catastrophic; a risk-averse DM should weight variance/downside, not just expected value.</t>
  </si>
  <si>
    <t xml:space="preserve">Both are probability-weighted expectations; PERT weights 3 point estimates (O,M,P) with fixed weights (1,4,1)/6 — EMV weights scenario payoffs by their probabilities.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</si>
</sst>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%"/>
    <numFmt numFmtId="168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  <fill>
      <patternFill patternType="solid">
        <fgColor rgb="FFDBEAFE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8" min="8" style="1" width="20"/>
    <col collapsed="false" customWidth="true" hidden="false" outlineLevel="0" max="13" min="13" style="1" width="24"/>
    <col collapsed="false" customWidth="true" hidden="false" outlineLevel="0" max="15" min="15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6" customFormat="false" ht="15" hidden="false" customHeight="true" outlineLevel="0" collapsed="false">
      <c r="H6" s="2" t="s">
        <v>4</v>
      </c>
      <c r="I6" s="2"/>
      <c r="J6" s="2"/>
      <c r="K6" s="2"/>
      <c r="M6" s="2" t="s">
        <v>5</v>
      </c>
      <c r="N6" s="2"/>
      <c r="O6" s="2"/>
    </row>
    <row r="7" customFormat="false" ht="15" hidden="false" customHeight="true" outlineLevel="0" collapsed="false">
      <c r="H7" s="5" t="s">
        <v>6</v>
      </c>
      <c r="I7" s="5"/>
      <c r="J7" s="5"/>
      <c r="K7" s="5"/>
      <c r="M7" s="6" t="s">
        <v>7</v>
      </c>
      <c r="N7" s="6"/>
      <c r="O7" s="6"/>
    </row>
    <row r="8" customFormat="false" ht="23.25" hidden="false" customHeight="true" outlineLevel="0" collapsed="false">
      <c r="H8" s="5" t="s">
        <v>8</v>
      </c>
      <c r="I8" s="5"/>
      <c r="J8" s="5"/>
      <c r="K8" s="5"/>
      <c r="M8" s="7" t="s">
        <v>9</v>
      </c>
      <c r="N8" s="7"/>
      <c r="O8" s="8" t="n">
        <v>6</v>
      </c>
    </row>
    <row r="9" customFormat="false" ht="23.25" hidden="false" customHeight="true" outlineLevel="0" collapsed="false">
      <c r="A9" s="9" t="s">
        <v>10</v>
      </c>
      <c r="H9" s="5" t="s">
        <v>11</v>
      </c>
      <c r="I9" s="5"/>
      <c r="J9" s="5"/>
      <c r="K9" s="5"/>
      <c r="M9" s="7" t="s">
        <v>12</v>
      </c>
      <c r="N9" s="7"/>
      <c r="O9" s="8" t="n">
        <v>15</v>
      </c>
    </row>
    <row r="10" customFormat="false" ht="23.25" hidden="false" customHeight="true" outlineLevel="0" collapsed="false">
      <c r="H10" s="5" t="s">
        <v>13</v>
      </c>
      <c r="I10" s="5"/>
      <c r="J10" s="5"/>
      <c r="K10" s="5"/>
      <c r="M10" s="7" t="s">
        <v>14</v>
      </c>
      <c r="N10" s="7"/>
      <c r="O10" s="8" t="n">
        <v>8</v>
      </c>
    </row>
    <row r="11" customFormat="false" ht="15" hidden="false" customHeight="true" outlineLevel="0" collapsed="false">
      <c r="A11" s="9" t="s">
        <v>15</v>
      </c>
      <c r="M11" s="7" t="s">
        <v>16</v>
      </c>
      <c r="N11" s="7"/>
      <c r="O11" s="8" t="n">
        <v>216.6667</v>
      </c>
    </row>
    <row r="12" customFormat="false" ht="15" hidden="false" customHeight="true" outlineLevel="0" collapsed="false">
      <c r="A12" s="9" t="s">
        <v>17</v>
      </c>
      <c r="B12" s="9" t="s">
        <v>18</v>
      </c>
      <c r="C12" s="9" t="s">
        <v>19</v>
      </c>
      <c r="D12" s="9" t="s">
        <v>20</v>
      </c>
      <c r="E12" s="9" t="s">
        <v>21</v>
      </c>
      <c r="F12" s="9" t="s">
        <v>22</v>
      </c>
      <c r="M12" s="7" t="s">
        <v>23</v>
      </c>
      <c r="N12" s="7"/>
      <c r="O12" s="10" t="s">
        <v>24</v>
      </c>
    </row>
    <row r="13" customFormat="false" ht="15" hidden="false" customHeight="true" outlineLevel="0" collapsed="false">
      <c r="A13" s="9" t="s">
        <v>25</v>
      </c>
      <c r="B13" s="9" t="n">
        <v>2</v>
      </c>
      <c r="C13" s="9" t="n">
        <v>3</v>
      </c>
      <c r="D13" s="9" t="n">
        <v>6</v>
      </c>
      <c r="E13" s="11"/>
      <c r="F13" s="11"/>
      <c r="M13" s="7" t="s">
        <v>26</v>
      </c>
      <c r="N13" s="7"/>
      <c r="O13" s="10" t="s">
        <v>27</v>
      </c>
    </row>
    <row r="14" customFormat="false" ht="15" hidden="false" customHeight="true" outlineLevel="0" collapsed="false">
      <c r="A14" s="9" t="s">
        <v>28</v>
      </c>
      <c r="B14" s="9" t="n">
        <v>3</v>
      </c>
      <c r="C14" s="9" t="n">
        <v>4</v>
      </c>
      <c r="D14" s="9" t="n">
        <v>7</v>
      </c>
      <c r="E14" s="11"/>
      <c r="F14" s="11"/>
      <c r="M14" s="7" t="s">
        <v>29</v>
      </c>
      <c r="N14" s="7"/>
      <c r="O14" s="10" t="s">
        <v>30</v>
      </c>
    </row>
    <row r="15" customFormat="false" ht="15" hidden="false" customHeight="true" outlineLevel="0" collapsed="false">
      <c r="A15" s="9" t="s">
        <v>31</v>
      </c>
      <c r="B15" s="9" t="n">
        <v>4</v>
      </c>
      <c r="C15" s="9" t="n">
        <v>6</v>
      </c>
      <c r="D15" s="9" t="n">
        <v>12</v>
      </c>
      <c r="E15" s="11"/>
      <c r="F15" s="11"/>
      <c r="M15" s="7" t="s">
        <v>32</v>
      </c>
      <c r="N15" s="7"/>
      <c r="O15" s="10" t="s">
        <v>33</v>
      </c>
    </row>
    <row r="16" customFormat="false" ht="15" hidden="false" customHeight="true" outlineLevel="0" collapsed="false">
      <c r="A16" s="9" t="s">
        <v>34</v>
      </c>
      <c r="B16" s="9" t="n">
        <v>2</v>
      </c>
      <c r="C16" s="9" t="n">
        <v>3</v>
      </c>
      <c r="D16" s="9" t="n">
        <v>4</v>
      </c>
      <c r="E16" s="11"/>
      <c r="F16" s="11"/>
      <c r="M16" s="7" t="s">
        <v>35</v>
      </c>
      <c r="N16" s="7"/>
      <c r="O16" s="10" t="s">
        <v>36</v>
      </c>
    </row>
    <row r="17" customFormat="false" ht="15" hidden="false" customHeight="true" outlineLevel="0" collapsed="false">
      <c r="A17" s="9" t="s">
        <v>37</v>
      </c>
      <c r="B17" s="9" t="n">
        <v>1</v>
      </c>
      <c r="C17" s="9" t="n">
        <v>2</v>
      </c>
      <c r="D17" s="9" t="n">
        <v>5</v>
      </c>
      <c r="E17" s="11"/>
      <c r="F17" s="11"/>
    </row>
    <row r="18" customFormat="false" ht="15" hidden="false" customHeight="true" outlineLevel="0" collapsed="false">
      <c r="A18" s="9" t="s">
        <v>38</v>
      </c>
      <c r="B18" s="9" t="n">
        <v>1</v>
      </c>
      <c r="C18" s="9" t="n">
        <v>1</v>
      </c>
      <c r="D18" s="9" t="n">
        <v>3</v>
      </c>
      <c r="E18" s="11"/>
      <c r="F18" s="11"/>
    </row>
    <row r="20" customFormat="false" ht="15" hidden="false" customHeight="true" outlineLevel="0" collapsed="false">
      <c r="A20" s="9" t="s">
        <v>39</v>
      </c>
    </row>
    <row r="21" customFormat="false" ht="15" hidden="false" customHeight="true" outlineLevel="0" collapsed="false">
      <c r="A21" s="9" t="s">
        <v>40</v>
      </c>
    </row>
    <row r="23" customFormat="false" ht="15" hidden="false" customHeight="true" outlineLevel="0" collapsed="false">
      <c r="A23" s="9" t="s">
        <v>41</v>
      </c>
    </row>
    <row r="24" customFormat="false" ht="15" hidden="false" customHeight="true" outlineLevel="0" collapsed="false">
      <c r="A24" s="9" t="s">
        <v>42</v>
      </c>
      <c r="B24" s="9" t="s">
        <v>43</v>
      </c>
    </row>
    <row r="25" customFormat="false" ht="15" hidden="false" customHeight="true" outlineLevel="0" collapsed="false">
      <c r="A25" s="9" t="s">
        <v>44</v>
      </c>
    </row>
    <row r="27" customFormat="false" ht="15" hidden="false" customHeight="true" outlineLevel="0" collapsed="false">
      <c r="A27" s="9" t="s">
        <v>45</v>
      </c>
    </row>
    <row r="28" customFormat="false" ht="15" hidden="false" customHeight="true" outlineLevel="0" collapsed="false">
      <c r="A28" s="9" t="s">
        <v>46</v>
      </c>
      <c r="B28" s="11"/>
      <c r="C28" s="9" t="s">
        <v>47</v>
      </c>
    </row>
    <row r="30" customFormat="false" ht="15" hidden="false" customHeight="true" outlineLevel="0" collapsed="false">
      <c r="A30" s="9" t="s">
        <v>48</v>
      </c>
    </row>
    <row r="31" customFormat="false" ht="15" hidden="false" customHeight="true" outlineLevel="0" collapsed="false">
      <c r="A31" s="9" t="s">
        <v>49</v>
      </c>
      <c r="B31" s="9" t="s">
        <v>50</v>
      </c>
      <c r="C31" s="9" t="s">
        <v>51</v>
      </c>
      <c r="D31" s="9" t="s">
        <v>52</v>
      </c>
      <c r="E31" s="9" t="s">
        <v>53</v>
      </c>
    </row>
    <row r="32" customFormat="false" ht="15" hidden="false" customHeight="true" outlineLevel="0" collapsed="false">
      <c r="A32" s="9" t="s">
        <v>54</v>
      </c>
      <c r="B32" s="9" t="n">
        <v>4</v>
      </c>
      <c r="C32" s="9" t="n">
        <v>5</v>
      </c>
      <c r="D32" s="12"/>
    </row>
    <row r="33" customFormat="false" ht="15" hidden="false" customHeight="true" outlineLevel="0" collapsed="false">
      <c r="A33" s="9" t="s">
        <v>55</v>
      </c>
      <c r="B33" s="9" t="n">
        <v>3</v>
      </c>
      <c r="C33" s="9" t="n">
        <v>4</v>
      </c>
      <c r="D33" s="12"/>
    </row>
    <row r="34" customFormat="false" ht="15" hidden="false" customHeight="true" outlineLevel="0" collapsed="false">
      <c r="A34" s="9" t="s">
        <v>9</v>
      </c>
      <c r="B34" s="9" t="n">
        <v>2</v>
      </c>
      <c r="C34" s="9" t="n">
        <v>3</v>
      </c>
      <c r="D34" s="12"/>
    </row>
    <row r="35" customFormat="false" ht="15" hidden="false" customHeight="true" outlineLevel="0" collapsed="false">
      <c r="A35" s="9" t="s">
        <v>12</v>
      </c>
      <c r="B35" s="9" t="n">
        <v>3</v>
      </c>
      <c r="C35" s="9" t="n">
        <v>5</v>
      </c>
      <c r="D35" s="12"/>
    </row>
    <row r="36" customFormat="false" ht="15" hidden="false" customHeight="true" outlineLevel="0" collapsed="false">
      <c r="A36" s="9" t="s">
        <v>14</v>
      </c>
      <c r="B36" s="9" t="n">
        <v>2</v>
      </c>
      <c r="C36" s="9" t="n">
        <v>4</v>
      </c>
      <c r="D36" s="12"/>
    </row>
    <row r="38" customFormat="false" ht="15" hidden="false" customHeight="true" outlineLevel="0" collapsed="false">
      <c r="A38" s="9" t="s">
        <v>56</v>
      </c>
    </row>
    <row r="39" customFormat="false" ht="15" hidden="false" customHeight="true" outlineLevel="0" collapsed="false">
      <c r="A39" s="9" t="s">
        <v>57</v>
      </c>
    </row>
    <row r="41" customFormat="false" ht="15" hidden="false" customHeight="true" outlineLevel="0" collapsed="false">
      <c r="A41" s="9" t="s">
        <v>58</v>
      </c>
    </row>
    <row r="42" customFormat="false" ht="15" hidden="false" customHeight="true" outlineLevel="0" collapsed="false">
      <c r="A42" s="9" t="s">
        <v>59</v>
      </c>
      <c r="B42" s="9" t="s">
        <v>60</v>
      </c>
    </row>
    <row r="43" customFormat="false" ht="15" hidden="false" customHeight="true" outlineLevel="0" collapsed="false">
      <c r="A43" s="9" t="s">
        <v>61</v>
      </c>
      <c r="B43" s="9" t="s">
        <v>62</v>
      </c>
    </row>
    <row r="44" customFormat="false" ht="15" hidden="false" customHeight="true" outlineLevel="0" collapsed="false">
      <c r="A44" s="9" t="s">
        <v>63</v>
      </c>
      <c r="B44" s="9" t="s">
        <v>64</v>
      </c>
    </row>
    <row r="46" customFormat="false" ht="15" hidden="false" customHeight="true" outlineLevel="0" collapsed="false">
      <c r="A46" s="9" t="s">
        <v>65</v>
      </c>
    </row>
    <row r="47" customFormat="false" ht="15" hidden="false" customHeight="true" outlineLevel="0" collapsed="false">
      <c r="B47" s="9" t="s">
        <v>66</v>
      </c>
      <c r="C47" s="9" t="s">
        <v>67</v>
      </c>
      <c r="D47" s="9" t="s">
        <v>68</v>
      </c>
    </row>
    <row r="48" customFormat="false" ht="15" hidden="false" customHeight="true" outlineLevel="0" collapsed="false">
      <c r="A48" s="9" t="s">
        <v>69</v>
      </c>
      <c r="B48" s="9" t="n">
        <v>150</v>
      </c>
      <c r="C48" s="9" t="n">
        <v>200</v>
      </c>
      <c r="D48" s="9" t="n">
        <v>350</v>
      </c>
    </row>
    <row r="50" customFormat="false" ht="15" hidden="false" customHeight="true" outlineLevel="0" collapsed="false">
      <c r="A50" s="9" t="s">
        <v>70</v>
      </c>
    </row>
    <row r="51" customFormat="false" ht="15" hidden="false" customHeight="true" outlineLevel="0" collapsed="false">
      <c r="A51" s="9" t="s">
        <v>40</v>
      </c>
    </row>
    <row r="52" customFormat="false" ht="15" hidden="false" customHeight="true" outlineLevel="0" collapsed="false">
      <c r="A52" s="9" t="s">
        <v>71</v>
      </c>
      <c r="B52" s="12"/>
      <c r="C52" s="9" t="s">
        <v>72</v>
      </c>
    </row>
    <row r="55" customFormat="false" ht="15" hidden="false" customHeight="true" outlineLevel="0" collapsed="false">
      <c r="A55" s="2" t="s">
        <v>73</v>
      </c>
      <c r="B55" s="2"/>
      <c r="C55" s="2"/>
      <c r="D55" s="2"/>
      <c r="E55" s="2"/>
      <c r="F55" s="2"/>
      <c r="G55" s="2"/>
    </row>
    <row r="56" customFormat="false" ht="25.5" hidden="false" customHeight="true" outlineLevel="0" collapsed="false">
      <c r="A56" s="4" t="s">
        <v>74</v>
      </c>
      <c r="B56" s="4"/>
      <c r="C56" s="4"/>
      <c r="D56" s="4"/>
      <c r="E56" s="4"/>
      <c r="F56" s="4"/>
      <c r="G56" s="4"/>
    </row>
    <row r="58" customFormat="false" ht="15" hidden="false" customHeight="true" outlineLevel="0" collapsed="false">
      <c r="A58" s="2" t="s">
        <v>75</v>
      </c>
      <c r="B58" s="2" t="s">
        <v>76</v>
      </c>
      <c r="C58" s="2" t="s">
        <v>77</v>
      </c>
      <c r="D58" s="2" t="s">
        <v>78</v>
      </c>
      <c r="E58" s="2" t="s">
        <v>79</v>
      </c>
      <c r="F58" s="2" t="s">
        <v>80</v>
      </c>
    </row>
    <row r="59" customFormat="false" ht="15" hidden="false" customHeight="true" outlineLevel="0" collapsed="false">
      <c r="A59" s="13" t="s">
        <v>81</v>
      </c>
      <c r="B59" s="14" t="n">
        <v>0.3</v>
      </c>
      <c r="C59" s="15" t="n">
        <v>180</v>
      </c>
      <c r="D59" s="15" t="n">
        <v>220</v>
      </c>
      <c r="E59" s="15" t="n">
        <v>150</v>
      </c>
      <c r="F59" s="16"/>
    </row>
    <row r="60" customFormat="false" ht="15" hidden="false" customHeight="true" outlineLevel="0" collapsed="false">
      <c r="A60" s="13" t="s">
        <v>82</v>
      </c>
      <c r="B60" s="14" t="n">
        <v>0.5</v>
      </c>
      <c r="C60" s="15" t="n">
        <v>120</v>
      </c>
      <c r="D60" s="15" t="n">
        <v>140</v>
      </c>
      <c r="E60" s="15" t="n">
        <v>130</v>
      </c>
      <c r="F60" s="16"/>
    </row>
    <row r="61" customFormat="false" ht="15" hidden="false" customHeight="true" outlineLevel="0" collapsed="false">
      <c r="A61" s="13" t="s">
        <v>83</v>
      </c>
      <c r="B61" s="14" t="n">
        <v>0.2</v>
      </c>
      <c r="C61" s="15" t="n">
        <v>60</v>
      </c>
      <c r="D61" s="15" t="n">
        <v>40</v>
      </c>
      <c r="E61" s="15" t="n">
        <v>110</v>
      </c>
      <c r="F61" s="16"/>
    </row>
    <row r="63" customFormat="false" ht="15" hidden="false" customHeight="true" outlineLevel="0" collapsed="false">
      <c r="A63" s="10" t="s">
        <v>84</v>
      </c>
      <c r="C63" s="17"/>
      <c r="D63" s="17"/>
      <c r="E63" s="17"/>
    </row>
    <row r="65" customFormat="false" ht="15" hidden="false" customHeight="true" outlineLevel="0" collapsed="false">
      <c r="A65" s="10" t="s">
        <v>85</v>
      </c>
      <c r="B65" s="18"/>
      <c r="C65" s="18"/>
      <c r="D65" s="18"/>
      <c r="E65" s="10" t="s">
        <v>86</v>
      </c>
      <c r="F65" s="19"/>
    </row>
    <row r="67" customFormat="false" ht="23.25" hidden="false" customHeight="true" outlineLevel="0" collapsed="false">
      <c r="A67" s="4" t="s">
        <v>87</v>
      </c>
      <c r="B67" s="4"/>
      <c r="C67" s="4"/>
      <c r="D67" s="4"/>
      <c r="E67" s="4"/>
      <c r="F67" s="4"/>
      <c r="G67" s="4"/>
    </row>
    <row r="68" customFormat="false" ht="15" hidden="false" customHeight="true" outlineLevel="0" collapsed="false">
      <c r="A68" s="10" t="s">
        <v>88</v>
      </c>
      <c r="B68" s="20"/>
      <c r="C68" s="20"/>
      <c r="D68" s="10" t="s">
        <v>89</v>
      </c>
      <c r="E68" s="20"/>
      <c r="F68" s="20"/>
    </row>
    <row r="70" customFormat="false" ht="15" hidden="false" customHeight="true" outlineLevel="0" collapsed="false">
      <c r="A70" s="21" t="s">
        <v>90</v>
      </c>
    </row>
    <row r="71" customFormat="false" ht="15" hidden="false" customHeight="true" outlineLevel="0" collapsed="false">
      <c r="A71" s="22" t="s">
        <v>91</v>
      </c>
      <c r="B71" s="22"/>
      <c r="C71" s="22"/>
      <c r="D71" s="22"/>
      <c r="E71" s="10" t="s">
        <v>92</v>
      </c>
      <c r="F71" s="23"/>
      <c r="G71" s="23"/>
    </row>
    <row r="72" customFormat="false" ht="15" hidden="false" customHeight="true" outlineLevel="0" collapsed="false">
      <c r="A72" s="22" t="s">
        <v>93</v>
      </c>
      <c r="B72" s="22"/>
      <c r="C72" s="22"/>
      <c r="D72" s="22"/>
      <c r="E72" s="10" t="s">
        <v>92</v>
      </c>
      <c r="F72" s="23"/>
      <c r="G72" s="23"/>
    </row>
    <row r="73" customFormat="false" ht="15" hidden="false" customHeight="true" outlineLevel="0" collapsed="false">
      <c r="A73" s="22" t="s">
        <v>94</v>
      </c>
      <c r="B73" s="22"/>
      <c r="C73" s="22"/>
      <c r="D73" s="22"/>
      <c r="E73" s="10" t="s">
        <v>92</v>
      </c>
      <c r="F73" s="23"/>
      <c r="G73" s="23"/>
    </row>
    <row r="74" customFormat="false" ht="15" hidden="false" customHeight="true" outlineLevel="0" collapsed="false">
      <c r="A74" s="22" t="s">
        <v>95</v>
      </c>
      <c r="B74" s="22"/>
      <c r="C74" s="22"/>
      <c r="D74" s="22"/>
      <c r="E74" s="10" t="s">
        <v>92</v>
      </c>
      <c r="F74" s="23"/>
      <c r="G74" s="23"/>
    </row>
    <row r="75" customFormat="false" ht="15" hidden="false" customHeight="true" outlineLevel="0" collapsed="false">
      <c r="A75" s="22" t="s">
        <v>96</v>
      </c>
      <c r="B75" s="22"/>
      <c r="C75" s="22"/>
      <c r="D75" s="22"/>
      <c r="E75" s="10" t="s">
        <v>92</v>
      </c>
      <c r="F75" s="23"/>
      <c r="G75" s="23"/>
    </row>
  </sheetData>
  <mergeCells count="36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M10:N10"/>
    <mergeCell ref="M11:N11"/>
    <mergeCell ref="M12:N12"/>
    <mergeCell ref="M13:N13"/>
    <mergeCell ref="M14:N14"/>
    <mergeCell ref="M15:N15"/>
    <mergeCell ref="M16:N16"/>
    <mergeCell ref="A55:G55"/>
    <mergeCell ref="A56:G56"/>
    <mergeCell ref="B65:D65"/>
    <mergeCell ref="A67:G67"/>
    <mergeCell ref="B68:C68"/>
    <mergeCell ref="E68:F68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8" min="8" style="1" width="20"/>
    <col collapsed="false" customWidth="true" hidden="false" outlineLevel="0" max="13" min="13" style="1" width="24"/>
    <col collapsed="false" customWidth="true" hidden="false" outlineLevel="0" max="15" min="15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4" t="s">
        <v>98</v>
      </c>
      <c r="B4" s="4"/>
      <c r="C4" s="4"/>
      <c r="D4" s="4"/>
      <c r="E4" s="4"/>
      <c r="F4" s="4"/>
      <c r="G4" s="4"/>
      <c r="H4" s="4"/>
      <c r="I4" s="4"/>
      <c r="J4" s="4"/>
      <c r="K4" s="4"/>
    </row>
    <row r="6" customFormat="false" ht="15" hidden="false" customHeight="true" outlineLevel="0" collapsed="false">
      <c r="H6" s="2" t="s">
        <v>4</v>
      </c>
      <c r="I6" s="2"/>
      <c r="J6" s="2"/>
      <c r="K6" s="2"/>
      <c r="M6" s="2" t="s">
        <v>5</v>
      </c>
      <c r="N6" s="2"/>
      <c r="O6" s="2"/>
    </row>
    <row r="7" customFormat="false" ht="15" hidden="false" customHeight="true" outlineLevel="0" collapsed="false">
      <c r="H7" s="5" t="s">
        <v>6</v>
      </c>
      <c r="I7" s="5"/>
      <c r="J7" s="5"/>
      <c r="K7" s="5"/>
      <c r="M7" s="6" t="s">
        <v>7</v>
      </c>
      <c r="N7" s="6"/>
      <c r="O7" s="6"/>
    </row>
    <row r="8" customFormat="false" ht="23.25" hidden="false" customHeight="true" outlineLevel="0" collapsed="false">
      <c r="H8" s="5" t="s">
        <v>8</v>
      </c>
      <c r="I8" s="5"/>
      <c r="J8" s="5"/>
      <c r="K8" s="5"/>
      <c r="M8" s="7" t="s">
        <v>9</v>
      </c>
      <c r="N8" s="7"/>
      <c r="O8" s="8" t="n">
        <v>6</v>
      </c>
    </row>
    <row r="9" customFormat="false" ht="23.25" hidden="false" customHeight="true" outlineLevel="0" collapsed="false">
      <c r="A9" s="9" t="s">
        <v>10</v>
      </c>
      <c r="H9" s="5" t="s">
        <v>11</v>
      </c>
      <c r="I9" s="5"/>
      <c r="J9" s="5"/>
      <c r="K9" s="5"/>
      <c r="M9" s="7" t="s">
        <v>12</v>
      </c>
      <c r="N9" s="7"/>
      <c r="O9" s="8" t="n">
        <v>15</v>
      </c>
    </row>
    <row r="10" customFormat="false" ht="23.25" hidden="false" customHeight="true" outlineLevel="0" collapsed="false">
      <c r="H10" s="5" t="s">
        <v>13</v>
      </c>
      <c r="I10" s="5"/>
      <c r="J10" s="5"/>
      <c r="K10" s="5"/>
      <c r="M10" s="7" t="s">
        <v>14</v>
      </c>
      <c r="N10" s="7"/>
      <c r="O10" s="8" t="n">
        <v>8</v>
      </c>
    </row>
    <row r="11" customFormat="false" ht="15" hidden="false" customHeight="true" outlineLevel="0" collapsed="false">
      <c r="A11" s="9" t="s">
        <v>15</v>
      </c>
      <c r="M11" s="7" t="s">
        <v>16</v>
      </c>
      <c r="N11" s="7"/>
      <c r="O11" s="8" t="n">
        <v>216.6667</v>
      </c>
    </row>
    <row r="12" customFormat="false" ht="15" hidden="false" customHeight="true" outlineLevel="0" collapsed="false">
      <c r="A12" s="9" t="s">
        <v>17</v>
      </c>
      <c r="B12" s="9" t="s">
        <v>18</v>
      </c>
      <c r="C12" s="9" t="s">
        <v>19</v>
      </c>
      <c r="D12" s="9" t="s">
        <v>20</v>
      </c>
      <c r="E12" s="9" t="s">
        <v>21</v>
      </c>
      <c r="F12" s="9" t="s">
        <v>22</v>
      </c>
      <c r="M12" s="7" t="s">
        <v>23</v>
      </c>
      <c r="N12" s="7"/>
      <c r="O12" s="10" t="s">
        <v>24</v>
      </c>
    </row>
    <row r="13" customFormat="false" ht="15" hidden="false" customHeight="true" outlineLevel="0" collapsed="false">
      <c r="A13" s="9" t="s">
        <v>25</v>
      </c>
      <c r="B13" s="9" t="n">
        <v>2</v>
      </c>
      <c r="C13" s="9" t="n">
        <v>3</v>
      </c>
      <c r="D13" s="9" t="n">
        <v>6</v>
      </c>
      <c r="E13" s="11" t="n">
        <f aca="false">(B13+4*C13+D13)/6</f>
        <v>3.33333333333333</v>
      </c>
      <c r="F13" s="11" t="n">
        <f aca="false">((D13-B13)/6)^2</f>
        <v>0.444444444444444</v>
      </c>
      <c r="M13" s="7" t="s">
        <v>26</v>
      </c>
      <c r="N13" s="7"/>
      <c r="O13" s="10" t="s">
        <v>27</v>
      </c>
    </row>
    <row r="14" customFormat="false" ht="15" hidden="false" customHeight="true" outlineLevel="0" collapsed="false">
      <c r="A14" s="9" t="s">
        <v>28</v>
      </c>
      <c r="B14" s="9" t="n">
        <v>3</v>
      </c>
      <c r="C14" s="9" t="n">
        <v>4</v>
      </c>
      <c r="D14" s="9" t="n">
        <v>7</v>
      </c>
      <c r="E14" s="11" t="n">
        <f aca="false">(B14+4*C14+D14)/6</f>
        <v>4.33333333333333</v>
      </c>
      <c r="F14" s="11" t="n">
        <f aca="false">((D14-B14)/6)^2</f>
        <v>0.444444444444444</v>
      </c>
      <c r="M14" s="7" t="s">
        <v>29</v>
      </c>
      <c r="N14" s="7"/>
      <c r="O14" s="10" t="s">
        <v>99</v>
      </c>
    </row>
    <row r="15" customFormat="false" ht="15" hidden="false" customHeight="true" outlineLevel="0" collapsed="false">
      <c r="A15" s="9" t="s">
        <v>31</v>
      </c>
      <c r="B15" s="9" t="n">
        <v>4</v>
      </c>
      <c r="C15" s="9" t="n">
        <v>6</v>
      </c>
      <c r="D15" s="9" t="n">
        <v>12</v>
      </c>
      <c r="E15" s="11" t="n">
        <f aca="false">(B15+4*C15+D15)/6</f>
        <v>6.66666666666667</v>
      </c>
      <c r="F15" s="11" t="n">
        <f aca="false">((D15-B15)/6)^2</f>
        <v>1.77777777777778</v>
      </c>
      <c r="M15" s="7" t="s">
        <v>32</v>
      </c>
      <c r="N15" s="7"/>
      <c r="O15" s="10" t="s">
        <v>100</v>
      </c>
    </row>
    <row r="16" customFormat="false" ht="15" hidden="false" customHeight="true" outlineLevel="0" collapsed="false">
      <c r="A16" s="9" t="s">
        <v>34</v>
      </c>
      <c r="B16" s="9" t="n">
        <v>2</v>
      </c>
      <c r="C16" s="9" t="n">
        <v>3</v>
      </c>
      <c r="D16" s="9" t="n">
        <v>4</v>
      </c>
      <c r="E16" s="11" t="n">
        <f aca="false">(B16+4*C16+D16)/6</f>
        <v>3</v>
      </c>
      <c r="F16" s="11" t="n">
        <f aca="false">((D16-B16)/6)^2</f>
        <v>0.111111111111111</v>
      </c>
      <c r="M16" s="7" t="s">
        <v>35</v>
      </c>
      <c r="N16" s="7"/>
      <c r="O16" s="10" t="s">
        <v>101</v>
      </c>
    </row>
    <row r="17" customFormat="false" ht="15" hidden="false" customHeight="true" outlineLevel="0" collapsed="false">
      <c r="A17" s="9" t="s">
        <v>37</v>
      </c>
      <c r="B17" s="9" t="n">
        <v>1</v>
      </c>
      <c r="C17" s="9" t="n">
        <v>2</v>
      </c>
      <c r="D17" s="9" t="n">
        <v>5</v>
      </c>
      <c r="E17" s="11" t="n">
        <f aca="false">(B17+4*C17+D17)/6</f>
        <v>2.33333333333333</v>
      </c>
      <c r="F17" s="11" t="n">
        <f aca="false">((D17-B17)/6)^2</f>
        <v>0.444444444444444</v>
      </c>
    </row>
    <row r="18" customFormat="false" ht="15" hidden="false" customHeight="true" outlineLevel="0" collapsed="false">
      <c r="A18" s="9" t="s">
        <v>38</v>
      </c>
      <c r="B18" s="9" t="n">
        <v>1</v>
      </c>
      <c r="C18" s="9" t="n">
        <v>1</v>
      </c>
      <c r="D18" s="9" t="n">
        <v>3</v>
      </c>
      <c r="E18" s="11" t="n">
        <f aca="false">(B18+4*C18+D18)/6</f>
        <v>1.33333333333333</v>
      </c>
      <c r="F18" s="11" t="n">
        <f aca="false">((D18-B18)/6)^2</f>
        <v>0.111111111111111</v>
      </c>
    </row>
    <row r="20" customFormat="false" ht="15" hidden="false" customHeight="true" outlineLevel="0" collapsed="false">
      <c r="A20" s="9" t="s">
        <v>39</v>
      </c>
    </row>
    <row r="21" customFormat="false" ht="15" hidden="false" customHeight="true" outlineLevel="0" collapsed="false">
      <c r="A21" s="9" t="s">
        <v>40</v>
      </c>
    </row>
    <row r="23" customFormat="false" ht="15" hidden="false" customHeight="true" outlineLevel="0" collapsed="false">
      <c r="A23" s="9" t="s">
        <v>41</v>
      </c>
    </row>
    <row r="24" customFormat="false" ht="15" hidden="false" customHeight="true" outlineLevel="0" collapsed="false">
      <c r="A24" s="9" t="s">
        <v>42</v>
      </c>
      <c r="B24" s="9" t="s">
        <v>43</v>
      </c>
    </row>
    <row r="25" customFormat="false" ht="15" hidden="false" customHeight="true" outlineLevel="0" collapsed="false">
      <c r="A25" s="9" t="s">
        <v>44</v>
      </c>
    </row>
    <row r="27" customFormat="false" ht="15" hidden="false" customHeight="true" outlineLevel="0" collapsed="false">
      <c r="A27" s="9" t="s">
        <v>45</v>
      </c>
    </row>
    <row r="28" customFormat="false" ht="15" hidden="false" customHeight="true" outlineLevel="0" collapsed="false">
      <c r="A28" s="9" t="s">
        <v>46</v>
      </c>
      <c r="B28" s="11" t="n">
        <f aca="false">SUM(E13:E18)</f>
        <v>21</v>
      </c>
      <c r="C28" s="9" t="s">
        <v>47</v>
      </c>
    </row>
    <row r="30" customFormat="false" ht="15" hidden="false" customHeight="true" outlineLevel="0" collapsed="false">
      <c r="A30" s="9" t="s">
        <v>48</v>
      </c>
    </row>
    <row r="31" customFormat="false" ht="15" hidden="false" customHeight="true" outlineLevel="0" collapsed="false">
      <c r="A31" s="9" t="s">
        <v>49</v>
      </c>
      <c r="B31" s="9" t="s">
        <v>50</v>
      </c>
      <c r="C31" s="9" t="s">
        <v>51</v>
      </c>
      <c r="D31" s="9" t="s">
        <v>52</v>
      </c>
      <c r="E31" s="9" t="s">
        <v>53</v>
      </c>
    </row>
    <row r="32" customFormat="false" ht="15" hidden="false" customHeight="true" outlineLevel="0" collapsed="false">
      <c r="A32" s="9" t="s">
        <v>54</v>
      </c>
      <c r="B32" s="9" t="n">
        <v>4</v>
      </c>
      <c r="C32" s="9" t="n">
        <v>5</v>
      </c>
      <c r="D32" s="12" t="n">
        <f aca="false">B32*C32</f>
        <v>20</v>
      </c>
    </row>
    <row r="33" customFormat="false" ht="15" hidden="false" customHeight="true" outlineLevel="0" collapsed="false">
      <c r="A33" s="9" t="s">
        <v>55</v>
      </c>
      <c r="B33" s="9" t="n">
        <v>3</v>
      </c>
      <c r="C33" s="9" t="n">
        <v>4</v>
      </c>
      <c r="D33" s="12" t="n">
        <f aca="false">B33*C33</f>
        <v>12</v>
      </c>
    </row>
    <row r="34" customFormat="false" ht="15" hidden="false" customHeight="true" outlineLevel="0" collapsed="false">
      <c r="A34" s="9" t="s">
        <v>9</v>
      </c>
      <c r="B34" s="9" t="n">
        <v>2</v>
      </c>
      <c r="C34" s="9" t="n">
        <v>3</v>
      </c>
      <c r="D34" s="12" t="n">
        <f aca="false">B34*C34</f>
        <v>6</v>
      </c>
    </row>
    <row r="35" customFormat="false" ht="15" hidden="false" customHeight="true" outlineLevel="0" collapsed="false">
      <c r="A35" s="9" t="s">
        <v>12</v>
      </c>
      <c r="B35" s="9" t="n">
        <v>3</v>
      </c>
      <c r="C35" s="9" t="n">
        <v>5</v>
      </c>
      <c r="D35" s="12" t="n">
        <f aca="false">B35*C35</f>
        <v>15</v>
      </c>
    </row>
    <row r="36" customFormat="false" ht="15" hidden="false" customHeight="true" outlineLevel="0" collapsed="false">
      <c r="A36" s="9" t="s">
        <v>14</v>
      </c>
      <c r="B36" s="9" t="n">
        <v>2</v>
      </c>
      <c r="C36" s="9" t="n">
        <v>4</v>
      </c>
      <c r="D36" s="12" t="n">
        <f aca="false">B36*C36</f>
        <v>8</v>
      </c>
    </row>
    <row r="38" customFormat="false" ht="15" hidden="false" customHeight="true" outlineLevel="0" collapsed="false">
      <c r="A38" s="9" t="s">
        <v>56</v>
      </c>
    </row>
    <row r="39" customFormat="false" ht="15" hidden="false" customHeight="true" outlineLevel="0" collapsed="false">
      <c r="A39" s="9" t="s">
        <v>57</v>
      </c>
    </row>
    <row r="41" customFormat="false" ht="15" hidden="false" customHeight="true" outlineLevel="0" collapsed="false">
      <c r="A41" s="9" t="s">
        <v>58</v>
      </c>
    </row>
    <row r="42" customFormat="false" ht="15" hidden="false" customHeight="true" outlineLevel="0" collapsed="false">
      <c r="A42" s="9" t="s">
        <v>59</v>
      </c>
      <c r="B42" s="9" t="s">
        <v>60</v>
      </c>
    </row>
    <row r="43" customFormat="false" ht="15" hidden="false" customHeight="true" outlineLevel="0" collapsed="false">
      <c r="A43" s="9" t="s">
        <v>61</v>
      </c>
      <c r="B43" s="9" t="s">
        <v>62</v>
      </c>
    </row>
    <row r="44" customFormat="false" ht="15" hidden="false" customHeight="true" outlineLevel="0" collapsed="false">
      <c r="A44" s="9" t="s">
        <v>63</v>
      </c>
      <c r="B44" s="9" t="s">
        <v>64</v>
      </c>
    </row>
    <row r="46" customFormat="false" ht="15" hidden="false" customHeight="true" outlineLevel="0" collapsed="false">
      <c r="A46" s="9" t="s">
        <v>65</v>
      </c>
    </row>
    <row r="47" customFormat="false" ht="15" hidden="false" customHeight="true" outlineLevel="0" collapsed="false">
      <c r="B47" s="9" t="s">
        <v>66</v>
      </c>
      <c r="C47" s="9" t="s">
        <v>67</v>
      </c>
      <c r="D47" s="9" t="s">
        <v>68</v>
      </c>
    </row>
    <row r="48" customFormat="false" ht="15" hidden="false" customHeight="true" outlineLevel="0" collapsed="false">
      <c r="A48" s="9" t="s">
        <v>69</v>
      </c>
      <c r="B48" s="9" t="n">
        <v>150</v>
      </c>
      <c r="C48" s="9" t="n">
        <v>200</v>
      </c>
      <c r="D48" s="9" t="n">
        <v>350</v>
      </c>
    </row>
    <row r="50" customFormat="false" ht="15" hidden="false" customHeight="true" outlineLevel="0" collapsed="false">
      <c r="A50" s="9" t="s">
        <v>70</v>
      </c>
    </row>
    <row r="51" customFormat="false" ht="15" hidden="false" customHeight="true" outlineLevel="0" collapsed="false">
      <c r="A51" s="9" t="s">
        <v>40</v>
      </c>
    </row>
    <row r="52" customFormat="false" ht="15" hidden="false" customHeight="true" outlineLevel="0" collapsed="false">
      <c r="A52" s="9" t="s">
        <v>71</v>
      </c>
      <c r="B52" s="12" t="n">
        <f aca="false">(B48+4*C48+D48)/6</f>
        <v>216.666666666667</v>
      </c>
      <c r="C52" s="9" t="s">
        <v>72</v>
      </c>
    </row>
    <row r="55" customFormat="false" ht="15" hidden="false" customHeight="true" outlineLevel="0" collapsed="false">
      <c r="A55" s="2" t="s">
        <v>73</v>
      </c>
      <c r="B55" s="2"/>
      <c r="C55" s="2"/>
      <c r="D55" s="2"/>
      <c r="E55" s="2"/>
      <c r="F55" s="2"/>
      <c r="G55" s="2"/>
    </row>
    <row r="56" customFormat="false" ht="25.5" hidden="false" customHeight="true" outlineLevel="0" collapsed="false">
      <c r="A56" s="4" t="s">
        <v>74</v>
      </c>
      <c r="B56" s="4"/>
      <c r="C56" s="4"/>
      <c r="D56" s="4"/>
      <c r="E56" s="4"/>
      <c r="F56" s="4"/>
      <c r="G56" s="4"/>
    </row>
    <row r="58" customFormat="false" ht="15" hidden="false" customHeight="true" outlineLevel="0" collapsed="false">
      <c r="A58" s="2" t="s">
        <v>75</v>
      </c>
      <c r="B58" s="2" t="s">
        <v>76</v>
      </c>
      <c r="C58" s="2" t="s">
        <v>77</v>
      </c>
      <c r="D58" s="2" t="s">
        <v>78</v>
      </c>
      <c r="E58" s="2" t="s">
        <v>79</v>
      </c>
      <c r="F58" s="2" t="s">
        <v>80</v>
      </c>
    </row>
    <row r="59" customFormat="false" ht="15" hidden="false" customHeight="true" outlineLevel="0" collapsed="false">
      <c r="A59" s="13" t="s">
        <v>81</v>
      </c>
      <c r="B59" s="14" t="n">
        <v>0.3</v>
      </c>
      <c r="C59" s="15" t="n">
        <v>180</v>
      </c>
      <c r="D59" s="15" t="n">
        <v>220</v>
      </c>
      <c r="E59" s="15" t="n">
        <v>150</v>
      </c>
      <c r="F59" s="16" t="n">
        <f aca="false">MAX(C59:E59)</f>
        <v>220</v>
      </c>
    </row>
    <row r="60" customFormat="false" ht="15" hidden="false" customHeight="true" outlineLevel="0" collapsed="false">
      <c r="A60" s="13" t="s">
        <v>82</v>
      </c>
      <c r="B60" s="14" t="n">
        <v>0.5</v>
      </c>
      <c r="C60" s="15" t="n">
        <v>120</v>
      </c>
      <c r="D60" s="15" t="n">
        <v>140</v>
      </c>
      <c r="E60" s="15" t="n">
        <v>130</v>
      </c>
      <c r="F60" s="16" t="n">
        <f aca="false">MAX(C60:E60)</f>
        <v>140</v>
      </c>
    </row>
    <row r="61" customFormat="false" ht="15" hidden="false" customHeight="true" outlineLevel="0" collapsed="false">
      <c r="A61" s="13" t="s">
        <v>83</v>
      </c>
      <c r="B61" s="14" t="n">
        <v>0.2</v>
      </c>
      <c r="C61" s="15" t="n">
        <v>60</v>
      </c>
      <c r="D61" s="15" t="n">
        <v>40</v>
      </c>
      <c r="E61" s="15" t="n">
        <v>110</v>
      </c>
      <c r="F61" s="16" t="n">
        <f aca="false">MAX(C61:E61)</f>
        <v>110</v>
      </c>
    </row>
    <row r="63" customFormat="false" ht="15" hidden="false" customHeight="true" outlineLevel="0" collapsed="false">
      <c r="A63" s="10" t="s">
        <v>84</v>
      </c>
      <c r="C63" s="17" t="n">
        <f aca="false">SUMPRODUCT($B$59:$B$61,C59:C61)</f>
        <v>126</v>
      </c>
      <c r="D63" s="17" t="n">
        <f aca="false">SUMPRODUCT($B$59:$B$61,D59:D61)</f>
        <v>144</v>
      </c>
      <c r="E63" s="17" t="n">
        <f aca="false">SUMPRODUCT($B$59:$B$61,E59:E61)</f>
        <v>132</v>
      </c>
    </row>
    <row r="65" customFormat="false" ht="15" hidden="false" customHeight="true" outlineLevel="0" collapsed="false">
      <c r="A65" s="10" t="s">
        <v>85</v>
      </c>
      <c r="B65" s="18" t="str">
        <f aca="false">INDEX({"Supplier A","Supplier B","Supplier C"},MATCH(MAX(C63:E63),C63:E63,0))</f>
        <v>Supplier B</v>
      </c>
      <c r="C65" s="18"/>
      <c r="D65" s="18"/>
      <c r="E65" s="10" t="s">
        <v>86</v>
      </c>
      <c r="F65" s="19" t="n">
        <f aca="false">MAX(C63:E63)</f>
        <v>144</v>
      </c>
    </row>
    <row r="67" customFormat="false" ht="23.25" hidden="false" customHeight="true" outlineLevel="0" collapsed="false">
      <c r="A67" s="4" t="s">
        <v>87</v>
      </c>
      <c r="B67" s="4"/>
      <c r="C67" s="4"/>
      <c r="D67" s="4"/>
      <c r="E67" s="4"/>
      <c r="F67" s="4"/>
      <c r="G67" s="4"/>
    </row>
    <row r="68" customFormat="false" ht="15" hidden="false" customHeight="true" outlineLevel="0" collapsed="false">
      <c r="A68" s="10" t="s">
        <v>88</v>
      </c>
      <c r="B68" s="20" t="n">
        <f aca="false">SUMPRODUCT($B$59:$B$61,F59:F61)</f>
        <v>158</v>
      </c>
      <c r="C68" s="20"/>
      <c r="D68" s="10" t="s">
        <v>89</v>
      </c>
      <c r="E68" s="20" t="n">
        <f aca="false">B68-F65</f>
        <v>14</v>
      </c>
      <c r="F68" s="20"/>
    </row>
    <row r="70" customFormat="false" ht="15" hidden="false" customHeight="true" outlineLevel="0" collapsed="false">
      <c r="A70" s="21" t="s">
        <v>90</v>
      </c>
    </row>
    <row r="71" customFormat="false" ht="30" hidden="false" customHeight="true" outlineLevel="0" collapsed="false">
      <c r="A71" s="22" t="s">
        <v>91</v>
      </c>
      <c r="B71" s="22"/>
      <c r="C71" s="22"/>
      <c r="D71" s="22"/>
      <c r="E71" s="10" t="s">
        <v>92</v>
      </c>
      <c r="F71" s="24" t="s">
        <v>102</v>
      </c>
      <c r="G71" s="24"/>
    </row>
    <row r="72" customFormat="false" ht="30" hidden="false" customHeight="true" outlineLevel="0" collapsed="false">
      <c r="A72" s="22" t="s">
        <v>93</v>
      </c>
      <c r="B72" s="22"/>
      <c r="C72" s="22"/>
      <c r="D72" s="22"/>
      <c r="E72" s="10" t="s">
        <v>92</v>
      </c>
      <c r="F72" s="24" t="s">
        <v>103</v>
      </c>
      <c r="G72" s="24"/>
    </row>
    <row r="73" customFormat="false" ht="30" hidden="false" customHeight="true" outlineLevel="0" collapsed="false">
      <c r="A73" s="22" t="s">
        <v>94</v>
      </c>
      <c r="B73" s="22"/>
      <c r="C73" s="22"/>
      <c r="D73" s="22"/>
      <c r="E73" s="10" t="s">
        <v>92</v>
      </c>
      <c r="F73" s="24" t="s">
        <v>104</v>
      </c>
      <c r="G73" s="24"/>
    </row>
    <row r="74" customFormat="false" ht="30" hidden="false" customHeight="true" outlineLevel="0" collapsed="false">
      <c r="A74" s="22" t="s">
        <v>95</v>
      </c>
      <c r="B74" s="22"/>
      <c r="C74" s="22"/>
      <c r="D74" s="22"/>
      <c r="E74" s="10" t="s">
        <v>92</v>
      </c>
      <c r="F74" s="24" t="s">
        <v>105</v>
      </c>
      <c r="G74" s="24"/>
    </row>
    <row r="75" customFormat="false" ht="30" hidden="false" customHeight="true" outlineLevel="0" collapsed="false">
      <c r="A75" s="22" t="s">
        <v>96</v>
      </c>
      <c r="B75" s="22"/>
      <c r="C75" s="22"/>
      <c r="D75" s="22"/>
      <c r="E75" s="10" t="s">
        <v>92</v>
      </c>
      <c r="F75" s="24" t="s">
        <v>106</v>
      </c>
      <c r="G75" s="24"/>
    </row>
  </sheetData>
  <mergeCells count="36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M10:N10"/>
    <mergeCell ref="M11:N11"/>
    <mergeCell ref="M12:N12"/>
    <mergeCell ref="M13:N13"/>
    <mergeCell ref="M14:N14"/>
    <mergeCell ref="M15:N15"/>
    <mergeCell ref="M16:N16"/>
    <mergeCell ref="A55:G55"/>
    <mergeCell ref="A56:G56"/>
    <mergeCell ref="B65:D65"/>
    <mergeCell ref="A67:G67"/>
    <mergeCell ref="B68:C68"/>
    <mergeCell ref="E68:F68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2026-09-03T19:14:06Z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