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1 - Kanban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<sst xmlns="http://schemas.openxmlformats.org/spreadsheetml/2006/main" count="144" uniqueCount="69">
  <si>
    <t xml:space="preserve">CASE 21: KANBAN SYSTEM DESIGN — NUMBER OF KANBANS &amp; CONTAINER SIZING</t>
  </si>
  <si>
    <t xml:space="preserve">Calculation Worksheet</t>
  </si>
  <si>
    <t xml:space="preserve">SCENARIO: Design a kanban system for a manufacturing cell that produces sub-assemblies.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</si>
  <si>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</si>
  <si>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</si>
  <si>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</si>
  <si>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Size a kanban pull system.</t>
  </si>
  <si>
    <t xml:space="preserve">Self-check targets.</t>
  </si>
  <si>
    <t xml:space="preserve">Your task: Compute the number of kanban cards needed.</t>
  </si>
  <si>
    <t xml:space="preserve">Avg WIP (10-unit)</t>
  </si>
  <si>
    <t xml:space="preserve">Calculate the number of kanbans needed and evaluate container sizing options.</t>
  </si>
  <si>
    <t xml:space="preserve">Approach: Cards = (demand × lead time × (1 + safety factor)) ÷ container size.</t>
  </si>
  <si>
    <t xml:space="preserve">WIP Reduction</t>
  </si>
  <si>
    <t xml:space="preserve">Time: ~20 min   •   Fill the shaded input cells, then check the ANSWER KEY sheet only after you finish.</t>
  </si>
  <si>
    <t xml:space="preserve">Total Loop Time</t>
  </si>
  <si>
    <t xml:space="preserve">PRODUCTION DATA</t>
  </si>
  <si>
    <t xml:space="preserve">Loops per Shift</t>
  </si>
  <si>
    <t xml:space="preserve">Parameter</t>
  </si>
  <si>
    <t xml:space="preserve">Value</t>
  </si>
  <si>
    <t xml:space="preserve">Unit</t>
  </si>
  <si>
    <t xml:space="preserve">Daily Demand</t>
  </si>
  <si>
    <t xml:space="preserve">units</t>
  </si>
  <si>
    <t xml:space="preserve">Working Hours/Day</t>
  </si>
  <si>
    <t xml:space="preserve">hours</t>
  </si>
  <si>
    <t xml:space="preserve">Lead Time (production + transport)</t>
  </si>
  <si>
    <t xml:space="preserve">Container Size</t>
  </si>
  <si>
    <t xml:space="preserve">Safety Factor (α)</t>
  </si>
  <si>
    <t xml:space="preserve">(25%)</t>
  </si>
  <si>
    <t xml:space="preserve">PART A: NUMBER OF KANBANS</t>
  </si>
  <si>
    <t xml:space="preserve">Q1: Calculate the number of kanbans required.</t>
  </si>
  <si>
    <t xml:space="preserve">    Formula: # Kanbans = (D × LT × (1 + α)) / Container Size</t>
  </si>
  <si>
    <t xml:space="preserve">    Where: D = demand per hour = Daily Demand / Working Hours</t>
  </si>
  <si>
    <t xml:space="preserve">    Demand per hour:</t>
  </si>
  <si>
    <t xml:space="preserve">units/hr</t>
  </si>
  <si>
    <t xml:space="preserve">    Numerator (D × LT × (1 + α)):</t>
  </si>
  <si>
    <t xml:space="preserve">    Number of Kanbans:</t>
  </si>
  <si>
    <t xml:space="preserve">(round UP)</t>
  </si>
  <si>
    <t xml:space="preserve">Q2: If lead time increases to 3 hours, how many kanbans needed?</t>
  </si>
  <si>
    <t xml:space="preserve">    New # Kanbans:</t>
  </si>
  <si>
    <t xml:space="preserve">    Change:</t>
  </si>
  <si>
    <t xml:space="preserve">additional kanbans</t>
  </si>
  <si>
    <t xml:space="preserve">Q3: If safety factor is reduced to 10%, how many kanbans at original LT?</t>
  </si>
  <si>
    <t xml:space="preserve">    # Kanbans with α=0.10:</t>
  </si>
  <si>
    <t xml:space="preserve">PART B: CONTAINER SIZING</t>
  </si>
  <si>
    <t xml:space="preserve">Current Takt Time = Available Time / Demand = (8 hrs × 60 min) / 480 = 1 min/unit</t>
  </si>
  <si>
    <t xml:space="preserve">Q4: If container holds 10 minutes of production, what should container size be?</t>
  </si>
  <si>
    <t xml:space="preserve">    Container Size:</t>
  </si>
  <si>
    <t xml:space="preserve">Q5: With smaller 10-unit containers, how many kanbans needed?</t>
  </si>
  <si>
    <t xml:space="preserve">    # Kanbans:</t>
  </si>
  <si>
    <t xml:space="preserve">Q6: Compare inventory levels: 20-unit vs 10-unit containers</t>
  </si>
  <si>
    <t xml:space="preserve">    Avg WIP (20-unit):</t>
  </si>
  <si>
    <t xml:space="preserve">    Avg WIP (10-unit):</t>
  </si>
  <si>
    <t xml:space="preserve">    WIP Reduction:</t>
  </si>
  <si>
    <t xml:space="preserve">%</t>
  </si>
  <si>
    <t xml:space="preserve">PART C: KANBAN LOOP TIME</t>
  </si>
  <si>
    <t xml:space="preserve">Loop Elements:</t>
  </si>
  <si>
    <t xml:space="preserve">Time (min)</t>
  </si>
  <si>
    <t xml:space="preserve">Wait at consuming station</t>
  </si>
  <si>
    <t xml:space="preserve">Move to producing station</t>
  </si>
  <si>
    <t xml:space="preserve">Wait in queue</t>
  </si>
  <si>
    <t xml:space="preserve">Processing (20 units × 1 min)</t>
  </si>
  <si>
    <t xml:space="preserve">Move back to consuming station</t>
  </si>
  <si>
    <t xml:space="preserve">Q7: Calculate total kanban loop time.</t>
  </si>
  <si>
    <t xml:space="preserve">    Total Loop Time:</t>
  </si>
  <si>
    <t xml:space="preserve">minutes</t>
  </si>
  <si>
    <t xml:space="preserve">Q8: How many loops can one kanban complete per 8-hour shift?</t>
  </si>
  <si>
    <t xml:space="preserve">    Loops per Shift: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</si>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</sst>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5" style="0" width="20"/>
    <col collapsed="false" customWidth="true" hidden="false" outlineLevel="0" max="10" min="10" style="0" width="2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E6" s="1" t="s">
        <v>4</v>
      </c>
      <c r="F6" s="1"/>
      <c r="G6" s="1"/>
      <c r="H6" s="1"/>
      <c r="J6" s="1" t="s">
        <v>5</v>
      </c>
      <c r="K6" s="1"/>
      <c r="L6" s="1"/>
    </row>
    <row r="7" customFormat="false" ht="15" hidden="false" customHeight="true" outlineLevel="0" collapsed="false">
      <c r="E7" s="4" t="s">
        <v>6</v>
      </c>
      <c r="F7" s="4"/>
      <c r="G7" s="4"/>
      <c r="H7" s="4"/>
      <c r="J7" s="5" t="s">
        <v>7</v>
      </c>
      <c r="K7" s="5"/>
      <c r="L7" s="5"/>
    </row>
    <row r="8" customFormat="false" ht="23.85" hidden="false" customHeight="true" outlineLevel="0" collapsed="false">
      <c r="E8" s="4" t="s">
        <v>8</v>
      </c>
      <c r="F8" s="4"/>
      <c r="G8" s="4"/>
      <c r="H8" s="4"/>
      <c r="J8" s="6" t="s">
        <v>9</v>
      </c>
      <c r="K8" s="6"/>
      <c r="L8" s="7" t="n">
        <v>150</v>
      </c>
    </row>
    <row r="9" customFormat="false" ht="23.85" hidden="false" customHeight="true" outlineLevel="0" collapsed="false">
      <c r="A9" s="8" t="s">
        <v>10</v>
      </c>
      <c r="E9" s="4" t="s">
        <v>11</v>
      </c>
      <c r="F9" s="4"/>
      <c r="G9" s="4"/>
      <c r="H9" s="4"/>
      <c r="J9" s="6" t="s">
        <v>12</v>
      </c>
      <c r="K9" s="6"/>
      <c r="L9" s="9" t="n">
        <v>0.0625</v>
      </c>
    </row>
    <row r="10" customFormat="false" ht="23.85" hidden="false" customHeight="true" outlineLevel="0" collapsed="false">
      <c r="E10" s="4" t="s">
        <v>13</v>
      </c>
      <c r="F10" s="4"/>
      <c r="G10" s="4"/>
      <c r="H10" s="4"/>
      <c r="J10" s="6" t="s">
        <v>14</v>
      </c>
      <c r="K10" s="6"/>
      <c r="L10" s="7" t="n">
        <v>41</v>
      </c>
    </row>
    <row r="11" customFormat="false" ht="15" hidden="false" customHeight="false" outlineLevel="0" collapsed="false">
      <c r="A11" s="8" t="s">
        <v>15</v>
      </c>
      <c r="J11" s="6" t="s">
        <v>16</v>
      </c>
      <c r="K11" s="6"/>
      <c r="L11" s="10" t="n">
        <v>11.7073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</row>
    <row r="13" customFormat="false" ht="15" hidden="false" customHeight="false" outlineLevel="0" collapsed="false">
      <c r="A13" s="8" t="s">
        <v>20</v>
      </c>
      <c r="B13" s="8" t="n">
        <v>480</v>
      </c>
      <c r="C13" s="8" t="s">
        <v>21</v>
      </c>
    </row>
    <row r="14" customFormat="false" ht="15" hidden="false" customHeight="false" outlineLevel="0" collapsed="false">
      <c r="A14" s="8" t="s">
        <v>22</v>
      </c>
      <c r="B14" s="8" t="n">
        <v>8</v>
      </c>
      <c r="C14" s="8" t="s">
        <v>23</v>
      </c>
    </row>
    <row r="15" customFormat="false" ht="15" hidden="false" customHeight="false" outlineLevel="0" collapsed="false">
      <c r="A15" s="8" t="s">
        <v>24</v>
      </c>
      <c r="B15" s="8" t="n">
        <v>2</v>
      </c>
      <c r="C15" s="8" t="s">
        <v>23</v>
      </c>
    </row>
    <row r="16" customFormat="false" ht="15" hidden="false" customHeight="false" outlineLevel="0" collapsed="false">
      <c r="A16" s="8" t="s">
        <v>25</v>
      </c>
      <c r="B16" s="8" t="n">
        <v>20</v>
      </c>
      <c r="C16" s="8" t="s">
        <v>21</v>
      </c>
    </row>
    <row r="17" customFormat="false" ht="15" hidden="false" customHeight="false" outlineLevel="0" collapsed="false">
      <c r="A17" s="8" t="s">
        <v>26</v>
      </c>
      <c r="B17" s="8" t="n">
        <v>0.25</v>
      </c>
      <c r="C17" s="8" t="s">
        <v>27</v>
      </c>
    </row>
    <row r="19" customFormat="false" ht="15" hidden="false" customHeight="false" outlineLevel="0" collapsed="false">
      <c r="A19" s="8" t="s">
        <v>28</v>
      </c>
    </row>
    <row r="21" customFormat="false" ht="15" hidden="false" customHeight="false" outlineLevel="0" collapsed="false">
      <c r="A21" s="8" t="s">
        <v>29</v>
      </c>
    </row>
    <row r="22" customFormat="false" ht="15" hidden="false" customHeight="false" outlineLevel="0" collapsed="false">
      <c r="A22" s="8" t="s">
        <v>30</v>
      </c>
    </row>
    <row r="23" customFormat="false" ht="15" hidden="false" customHeight="false" outlineLevel="0" collapsed="false">
      <c r="A23" s="8" t="s">
        <v>31</v>
      </c>
    </row>
    <row r="25" customFormat="false" ht="15" hidden="false" customHeight="false" outlineLevel="0" collapsed="false">
      <c r="A25" s="8" t="s">
        <v>32</v>
      </c>
      <c r="B25" s="11"/>
      <c r="C25" s="8" t="s">
        <v>33</v>
      </c>
    </row>
    <row r="26" customFormat="false" ht="15" hidden="false" customHeight="false" outlineLevel="0" collapsed="false">
      <c r="A26" s="8" t="s">
        <v>34</v>
      </c>
      <c r="B26" s="11"/>
    </row>
    <row r="27" customFormat="false" ht="15" hidden="false" customHeight="false" outlineLevel="0" collapsed="false">
      <c r="A27" s="8" t="s">
        <v>35</v>
      </c>
      <c r="B27" s="11"/>
      <c r="C27" s="8" t="s">
        <v>36</v>
      </c>
    </row>
    <row r="29" customFormat="false" ht="15" hidden="false" customHeight="false" outlineLevel="0" collapsed="false">
      <c r="A29" s="8" t="s">
        <v>37</v>
      </c>
    </row>
    <row r="30" customFormat="false" ht="15" hidden="false" customHeight="false" outlineLevel="0" collapsed="false">
      <c r="A30" s="8" t="s">
        <v>38</v>
      </c>
      <c r="B30" s="11"/>
    </row>
    <row r="31" customFormat="false" ht="15" hidden="false" customHeight="false" outlineLevel="0" collapsed="false">
      <c r="A31" s="8" t="s">
        <v>39</v>
      </c>
      <c r="B31" s="11"/>
      <c r="C31" s="8" t="s">
        <v>40</v>
      </c>
    </row>
    <row r="33" customFormat="false" ht="15" hidden="false" customHeight="false" outlineLevel="0" collapsed="false">
      <c r="A33" s="8" t="s">
        <v>41</v>
      </c>
    </row>
    <row r="34" customFormat="false" ht="15" hidden="false" customHeight="false" outlineLevel="0" collapsed="false">
      <c r="A34" s="8" t="s">
        <v>42</v>
      </c>
      <c r="B34" s="11"/>
    </row>
    <row r="36" customFormat="false" ht="15" hidden="false" customHeight="false" outlineLevel="0" collapsed="false">
      <c r="A36" s="8" t="s">
        <v>43</v>
      </c>
    </row>
    <row r="38" customFormat="false" ht="15" hidden="false" customHeight="false" outlineLevel="0" collapsed="false">
      <c r="A38" s="8" t="s">
        <v>44</v>
      </c>
    </row>
    <row r="40" customFormat="false" ht="15" hidden="false" customHeight="false" outlineLevel="0" collapsed="false">
      <c r="A40" s="8" t="s">
        <v>45</v>
      </c>
    </row>
    <row r="41" customFormat="false" ht="15" hidden="false" customHeight="false" outlineLevel="0" collapsed="false">
      <c r="A41" s="8" t="s">
        <v>46</v>
      </c>
      <c r="B41" s="11"/>
      <c r="C41" s="8" t="s">
        <v>21</v>
      </c>
    </row>
    <row r="43" customFormat="false" ht="15" hidden="false" customHeight="false" outlineLevel="0" collapsed="false">
      <c r="A43" s="8" t="s">
        <v>47</v>
      </c>
    </row>
    <row r="44" customFormat="false" ht="15" hidden="false" customHeight="false" outlineLevel="0" collapsed="false">
      <c r="A44" s="8" t="s">
        <v>48</v>
      </c>
      <c r="B44" s="11"/>
    </row>
    <row r="46" customFormat="false" ht="15" hidden="false" customHeight="false" outlineLevel="0" collapsed="false">
      <c r="A46" s="8" t="s">
        <v>49</v>
      </c>
    </row>
    <row r="47" customFormat="false" ht="15" hidden="false" customHeight="false" outlineLevel="0" collapsed="false">
      <c r="A47" s="8" t="s">
        <v>50</v>
      </c>
      <c r="B47" s="11"/>
      <c r="C47" s="8" t="s">
        <v>21</v>
      </c>
    </row>
    <row r="48" customFormat="false" ht="15" hidden="false" customHeight="false" outlineLevel="0" collapsed="false">
      <c r="A48" s="8" t="s">
        <v>51</v>
      </c>
      <c r="B48" s="11"/>
      <c r="C48" s="8" t="s">
        <v>21</v>
      </c>
    </row>
    <row r="49" customFormat="false" ht="15" hidden="false" customHeight="false" outlineLevel="0" collapsed="false">
      <c r="A49" s="8" t="s">
        <v>52</v>
      </c>
      <c r="B49" s="12"/>
      <c r="C49" s="8" t="s">
        <v>53</v>
      </c>
    </row>
    <row r="51" customFormat="false" ht="15" hidden="false" customHeight="false" outlineLevel="0" collapsed="false">
      <c r="A51" s="8" t="s">
        <v>54</v>
      </c>
    </row>
    <row r="53" customFormat="false" ht="15" hidden="false" customHeight="false" outlineLevel="0" collapsed="false">
      <c r="A53" s="8" t="s">
        <v>55</v>
      </c>
      <c r="B53" s="8" t="s">
        <v>56</v>
      </c>
    </row>
    <row r="54" customFormat="false" ht="15" hidden="false" customHeight="false" outlineLevel="0" collapsed="false">
      <c r="A54" s="8" t="s">
        <v>57</v>
      </c>
      <c r="B54" s="8" t="n">
        <v>5</v>
      </c>
    </row>
    <row r="55" customFormat="false" ht="15" hidden="false" customHeight="false" outlineLevel="0" collapsed="false">
      <c r="A55" s="8" t="s">
        <v>58</v>
      </c>
      <c r="B55" s="8" t="n">
        <v>3</v>
      </c>
    </row>
    <row r="56" customFormat="false" ht="15" hidden="false" customHeight="false" outlineLevel="0" collapsed="false">
      <c r="A56" s="8" t="s">
        <v>59</v>
      </c>
      <c r="B56" s="8" t="n">
        <v>10</v>
      </c>
    </row>
    <row r="57" customFormat="false" ht="15" hidden="false" customHeight="false" outlineLevel="0" collapsed="false">
      <c r="A57" s="8" t="s">
        <v>60</v>
      </c>
      <c r="B57" s="8" t="n">
        <v>20</v>
      </c>
    </row>
    <row r="58" customFormat="false" ht="15" hidden="false" customHeight="false" outlineLevel="0" collapsed="false">
      <c r="A58" s="8" t="s">
        <v>61</v>
      </c>
      <c r="B58" s="8" t="n">
        <v>3</v>
      </c>
    </row>
    <row r="60" customFormat="false" ht="15" hidden="false" customHeight="false" outlineLevel="0" collapsed="false">
      <c r="A60" s="8" t="s">
        <v>62</v>
      </c>
    </row>
    <row r="61" customFormat="false" ht="15" hidden="false" customHeight="false" outlineLevel="0" collapsed="false">
      <c r="A61" s="8" t="s">
        <v>63</v>
      </c>
      <c r="B61" s="11"/>
      <c r="C61" s="8" t="s">
        <v>64</v>
      </c>
    </row>
    <row r="63" customFormat="false" ht="15" hidden="false" customHeight="false" outlineLevel="0" collapsed="false">
      <c r="A63" s="8" t="s">
        <v>65</v>
      </c>
    </row>
    <row r="64" customFormat="false" ht="15" hidden="false" customHeight="false" outlineLevel="0" collapsed="false">
      <c r="A64" s="8" t="s">
        <v>66</v>
      </c>
      <c r="B64" s="13"/>
    </row>
  </sheetData>
  <mergeCells count="15">
    <mergeCell ref="A1:H1"/>
    <mergeCell ref="A2:H2"/>
    <mergeCell ref="A3:H3"/>
    <mergeCell ref="A4:H4"/>
    <mergeCell ref="E6:H6"/>
    <mergeCell ref="J6:L6"/>
    <mergeCell ref="E7:H7"/>
    <mergeCell ref="J7:L7"/>
    <mergeCell ref="E8:H8"/>
    <mergeCell ref="J8:K8"/>
    <mergeCell ref="E9:H9"/>
    <mergeCell ref="J9:K9"/>
    <mergeCell ref="E10:H10"/>
    <mergeCell ref="J10:K10"/>
    <mergeCell ref="J11:K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5" style="0" width="20"/>
    <col collapsed="false" customWidth="true" hidden="false" outlineLevel="0" max="10" min="10" style="0" width="2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 t="s">
        <v>67</v>
      </c>
      <c r="B2" s="1"/>
      <c r="C2" s="1"/>
      <c r="D2" s="1"/>
      <c r="E2" s="1"/>
      <c r="F2" s="1"/>
      <c r="G2" s="1"/>
      <c r="H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68</v>
      </c>
      <c r="B4" s="3"/>
      <c r="C4" s="3"/>
      <c r="D4" s="3"/>
      <c r="E4" s="3"/>
      <c r="F4" s="3"/>
      <c r="G4" s="3"/>
      <c r="H4" s="3"/>
    </row>
    <row r="6" customFormat="false" ht="15" hidden="false" customHeight="false" outlineLevel="0" collapsed="false">
      <c r="E6" s="1" t="s">
        <v>4</v>
      </c>
      <c r="F6" s="1"/>
      <c r="G6" s="1"/>
      <c r="H6" s="1"/>
      <c r="J6" s="1" t="s">
        <v>5</v>
      </c>
      <c r="K6" s="1"/>
      <c r="L6" s="1"/>
    </row>
    <row r="7" customFormat="false" ht="15" hidden="false" customHeight="true" outlineLevel="0" collapsed="false">
      <c r="E7" s="4" t="s">
        <v>6</v>
      </c>
      <c r="F7" s="4"/>
      <c r="G7" s="4"/>
      <c r="H7" s="4"/>
      <c r="J7" s="5" t="s">
        <v>7</v>
      </c>
      <c r="K7" s="5"/>
      <c r="L7" s="5"/>
    </row>
    <row r="8" customFormat="false" ht="23.85" hidden="false" customHeight="true" outlineLevel="0" collapsed="false">
      <c r="E8" s="4" t="s">
        <v>8</v>
      </c>
      <c r="F8" s="4"/>
      <c r="G8" s="4"/>
      <c r="H8" s="4"/>
      <c r="J8" s="6" t="s">
        <v>9</v>
      </c>
      <c r="K8" s="6"/>
      <c r="L8" s="7" t="n">
        <v>150</v>
      </c>
    </row>
    <row r="9" customFormat="false" ht="23.85" hidden="false" customHeight="true" outlineLevel="0" collapsed="false">
      <c r="A9" s="8" t="s">
        <v>10</v>
      </c>
      <c r="E9" s="4" t="s">
        <v>11</v>
      </c>
      <c r="F9" s="4"/>
      <c r="G9" s="4"/>
      <c r="H9" s="4"/>
      <c r="J9" s="6" t="s">
        <v>12</v>
      </c>
      <c r="K9" s="6"/>
      <c r="L9" s="9" t="n">
        <v>0.0625</v>
      </c>
    </row>
    <row r="10" customFormat="false" ht="23.85" hidden="false" customHeight="true" outlineLevel="0" collapsed="false">
      <c r="E10" s="4" t="s">
        <v>13</v>
      </c>
      <c r="F10" s="4"/>
      <c r="G10" s="4"/>
      <c r="H10" s="4"/>
      <c r="J10" s="6" t="s">
        <v>14</v>
      </c>
      <c r="K10" s="6"/>
      <c r="L10" s="7" t="n">
        <v>41</v>
      </c>
    </row>
    <row r="11" customFormat="false" ht="15" hidden="false" customHeight="false" outlineLevel="0" collapsed="false">
      <c r="A11" s="8" t="s">
        <v>15</v>
      </c>
      <c r="J11" s="6" t="s">
        <v>16</v>
      </c>
      <c r="K11" s="6"/>
      <c r="L11" s="10" t="n">
        <v>11.7073</v>
      </c>
    </row>
    <row r="12" customFormat="false" ht="15" hidden="false" customHeight="false" outlineLevel="0" collapsed="false">
      <c r="A12" s="8" t="s">
        <v>17</v>
      </c>
      <c r="B12" s="8" t="s">
        <v>18</v>
      </c>
      <c r="C12" s="8" t="s">
        <v>19</v>
      </c>
    </row>
    <row r="13" customFormat="false" ht="15" hidden="false" customHeight="false" outlineLevel="0" collapsed="false">
      <c r="A13" s="8" t="s">
        <v>20</v>
      </c>
      <c r="B13" s="8" t="n">
        <v>480</v>
      </c>
      <c r="C13" s="8" t="s">
        <v>21</v>
      </c>
    </row>
    <row r="14" customFormat="false" ht="15" hidden="false" customHeight="false" outlineLevel="0" collapsed="false">
      <c r="A14" s="8" t="s">
        <v>22</v>
      </c>
      <c r="B14" s="8" t="n">
        <v>8</v>
      </c>
      <c r="C14" s="8" t="s">
        <v>23</v>
      </c>
    </row>
    <row r="15" customFormat="false" ht="15" hidden="false" customHeight="false" outlineLevel="0" collapsed="false">
      <c r="A15" s="8" t="s">
        <v>24</v>
      </c>
      <c r="B15" s="8" t="n">
        <v>2</v>
      </c>
      <c r="C15" s="8" t="s">
        <v>23</v>
      </c>
    </row>
    <row r="16" customFormat="false" ht="15" hidden="false" customHeight="false" outlineLevel="0" collapsed="false">
      <c r="A16" s="8" t="s">
        <v>25</v>
      </c>
      <c r="B16" s="8" t="n">
        <v>20</v>
      </c>
      <c r="C16" s="8" t="s">
        <v>21</v>
      </c>
    </row>
    <row r="17" customFormat="false" ht="15" hidden="false" customHeight="false" outlineLevel="0" collapsed="false">
      <c r="A17" s="8" t="s">
        <v>26</v>
      </c>
      <c r="B17" s="8" t="n">
        <v>0.25</v>
      </c>
      <c r="C17" s="8" t="s">
        <v>27</v>
      </c>
    </row>
    <row r="19" customFormat="false" ht="15" hidden="false" customHeight="false" outlineLevel="0" collapsed="false">
      <c r="A19" s="8" t="s">
        <v>28</v>
      </c>
    </row>
    <row r="21" customFormat="false" ht="15" hidden="false" customHeight="false" outlineLevel="0" collapsed="false">
      <c r="A21" s="8" t="s">
        <v>29</v>
      </c>
    </row>
    <row r="22" customFormat="false" ht="15" hidden="false" customHeight="false" outlineLevel="0" collapsed="false">
      <c r="A22" s="8" t="s">
        <v>30</v>
      </c>
    </row>
    <row r="23" customFormat="false" ht="15" hidden="false" customHeight="false" outlineLevel="0" collapsed="false">
      <c r="A23" s="8" t="s">
        <v>31</v>
      </c>
    </row>
    <row r="25" customFormat="false" ht="15" hidden="false" customHeight="false" outlineLevel="0" collapsed="false">
      <c r="A25" s="8" t="s">
        <v>32</v>
      </c>
      <c r="B25" s="11" t="n">
        <f aca="false">B13/B14</f>
        <v>60</v>
      </c>
      <c r="C25" s="8" t="s">
        <v>33</v>
      </c>
    </row>
    <row r="26" customFormat="false" ht="15" hidden="false" customHeight="false" outlineLevel="0" collapsed="false">
      <c r="A26" s="8" t="s">
        <v>34</v>
      </c>
      <c r="B26" s="11" t="n">
        <f aca="false">B25*B15*(1+B17)</f>
        <v>150</v>
      </c>
    </row>
    <row r="27" customFormat="false" ht="15" hidden="false" customHeight="false" outlineLevel="0" collapsed="false">
      <c r="A27" s="8" t="s">
        <v>35</v>
      </c>
      <c r="B27" s="11" t="n">
        <f aca="false">CEILING(B26/B16,1)</f>
        <v>8</v>
      </c>
      <c r="C27" s="8" t="s">
        <v>36</v>
      </c>
    </row>
    <row r="29" customFormat="false" ht="15" hidden="false" customHeight="false" outlineLevel="0" collapsed="false">
      <c r="A29" s="8" t="s">
        <v>37</v>
      </c>
    </row>
    <row r="30" customFormat="false" ht="15" hidden="false" customHeight="false" outlineLevel="0" collapsed="false">
      <c r="A30" s="8" t="s">
        <v>38</v>
      </c>
      <c r="B30" s="11" t="n">
        <f aca="false">CEILING(B25*3*(1+B17)/B16,1)</f>
        <v>12</v>
      </c>
    </row>
    <row r="31" customFormat="false" ht="15" hidden="false" customHeight="false" outlineLevel="0" collapsed="false">
      <c r="A31" s="8" t="s">
        <v>39</v>
      </c>
      <c r="B31" s="11" t="n">
        <f aca="false">B30-B27</f>
        <v>4</v>
      </c>
      <c r="C31" s="8" t="s">
        <v>40</v>
      </c>
    </row>
    <row r="33" customFormat="false" ht="15" hidden="false" customHeight="false" outlineLevel="0" collapsed="false">
      <c r="A33" s="8" t="s">
        <v>41</v>
      </c>
    </row>
    <row r="34" customFormat="false" ht="15" hidden="false" customHeight="false" outlineLevel="0" collapsed="false">
      <c r="A34" s="8" t="s">
        <v>42</v>
      </c>
      <c r="B34" s="11" t="n">
        <f aca="false">CEILING(B25*B15*1.1/B16,1)</f>
        <v>7</v>
      </c>
    </row>
    <row r="36" customFormat="false" ht="15" hidden="false" customHeight="false" outlineLevel="0" collapsed="false">
      <c r="A36" s="8" t="s">
        <v>43</v>
      </c>
    </row>
    <row r="38" customFormat="false" ht="15" hidden="false" customHeight="false" outlineLevel="0" collapsed="false">
      <c r="A38" s="8" t="s">
        <v>44</v>
      </c>
    </row>
    <row r="40" customFormat="false" ht="15" hidden="false" customHeight="false" outlineLevel="0" collapsed="false">
      <c r="A40" s="8" t="s">
        <v>45</v>
      </c>
    </row>
    <row r="41" customFormat="false" ht="15" hidden="false" customHeight="false" outlineLevel="0" collapsed="false">
      <c r="A41" s="8" t="s">
        <v>46</v>
      </c>
      <c r="B41" s="11" t="n">
        <f aca="false">10*(B13/(B14*60))</f>
        <v>10</v>
      </c>
      <c r="C41" s="8" t="s">
        <v>21</v>
      </c>
    </row>
    <row r="43" customFormat="false" ht="15" hidden="false" customHeight="false" outlineLevel="0" collapsed="false">
      <c r="A43" s="8" t="s">
        <v>47</v>
      </c>
    </row>
    <row r="44" customFormat="false" ht="15" hidden="false" customHeight="false" outlineLevel="0" collapsed="false">
      <c r="A44" s="8" t="s">
        <v>48</v>
      </c>
      <c r="B44" s="11" t="n">
        <f aca="false">CEILING(B25*B15*(1+B17)/B41,1)</f>
        <v>15</v>
      </c>
    </row>
    <row r="46" customFormat="false" ht="15" hidden="false" customHeight="false" outlineLevel="0" collapsed="false">
      <c r="A46" s="8" t="s">
        <v>49</v>
      </c>
    </row>
    <row r="47" customFormat="false" ht="15" hidden="false" customHeight="false" outlineLevel="0" collapsed="false">
      <c r="A47" s="8" t="s">
        <v>50</v>
      </c>
      <c r="B47" s="11" t="n">
        <f aca="false">B27*B16</f>
        <v>160</v>
      </c>
      <c r="C47" s="8" t="s">
        <v>21</v>
      </c>
    </row>
    <row r="48" customFormat="false" ht="15" hidden="false" customHeight="false" outlineLevel="0" collapsed="false">
      <c r="A48" s="8" t="s">
        <v>51</v>
      </c>
      <c r="B48" s="11" t="n">
        <f aca="false">B44*B41</f>
        <v>150</v>
      </c>
      <c r="C48" s="8" t="s">
        <v>21</v>
      </c>
    </row>
    <row r="49" customFormat="false" ht="15" hidden="false" customHeight="false" outlineLevel="0" collapsed="false">
      <c r="A49" s="8" t="s">
        <v>52</v>
      </c>
      <c r="B49" s="12" t="n">
        <f aca="false">(B47-B48)/B47</f>
        <v>0.0625</v>
      </c>
      <c r="C49" s="8" t="s">
        <v>53</v>
      </c>
    </row>
    <row r="51" customFormat="false" ht="15" hidden="false" customHeight="false" outlineLevel="0" collapsed="false">
      <c r="A51" s="8" t="s">
        <v>54</v>
      </c>
    </row>
    <row r="53" customFormat="false" ht="15" hidden="false" customHeight="false" outlineLevel="0" collapsed="false">
      <c r="A53" s="8" t="s">
        <v>55</v>
      </c>
      <c r="B53" s="8" t="s">
        <v>56</v>
      </c>
    </row>
    <row r="54" customFormat="false" ht="15" hidden="false" customHeight="false" outlineLevel="0" collapsed="false">
      <c r="A54" s="8" t="s">
        <v>57</v>
      </c>
      <c r="B54" s="8" t="n">
        <v>5</v>
      </c>
    </row>
    <row r="55" customFormat="false" ht="15" hidden="false" customHeight="false" outlineLevel="0" collapsed="false">
      <c r="A55" s="8" t="s">
        <v>58</v>
      </c>
      <c r="B55" s="8" t="n">
        <v>3</v>
      </c>
    </row>
    <row r="56" customFormat="false" ht="15" hidden="false" customHeight="false" outlineLevel="0" collapsed="false">
      <c r="A56" s="8" t="s">
        <v>59</v>
      </c>
      <c r="B56" s="8" t="n">
        <v>10</v>
      </c>
    </row>
    <row r="57" customFormat="false" ht="15" hidden="false" customHeight="false" outlineLevel="0" collapsed="false">
      <c r="A57" s="8" t="s">
        <v>60</v>
      </c>
      <c r="B57" s="8" t="n">
        <v>20</v>
      </c>
    </row>
    <row r="58" customFormat="false" ht="15" hidden="false" customHeight="false" outlineLevel="0" collapsed="false">
      <c r="A58" s="8" t="s">
        <v>61</v>
      </c>
      <c r="B58" s="8" t="n">
        <v>3</v>
      </c>
    </row>
    <row r="60" customFormat="false" ht="15" hidden="false" customHeight="false" outlineLevel="0" collapsed="false">
      <c r="A60" s="8" t="s">
        <v>62</v>
      </c>
    </row>
    <row r="61" customFormat="false" ht="15" hidden="false" customHeight="false" outlineLevel="0" collapsed="false">
      <c r="A61" s="8" t="s">
        <v>63</v>
      </c>
      <c r="B61" s="11" t="n">
        <f aca="false">SUM(B54:B58)</f>
        <v>41</v>
      </c>
      <c r="C61" s="8" t="s">
        <v>64</v>
      </c>
    </row>
    <row r="63" customFormat="false" ht="15" hidden="false" customHeight="false" outlineLevel="0" collapsed="false">
      <c r="A63" s="8" t="s">
        <v>65</v>
      </c>
    </row>
    <row r="64" customFormat="false" ht="15" hidden="false" customHeight="false" outlineLevel="0" collapsed="false">
      <c r="A64" s="8" t="s">
        <v>66</v>
      </c>
      <c r="B64" s="13" t="n">
        <f aca="false">480/B61</f>
        <v>11.7073170731707</v>
      </c>
    </row>
  </sheetData>
  <mergeCells count="15">
    <mergeCell ref="A1:H1"/>
    <mergeCell ref="A2:H2"/>
    <mergeCell ref="A3:H3"/>
    <mergeCell ref="A4:H4"/>
    <mergeCell ref="E6:H6"/>
    <mergeCell ref="J6:L6"/>
    <mergeCell ref="E7:H7"/>
    <mergeCell ref="J7:L7"/>
    <mergeCell ref="E8:H8"/>
    <mergeCell ref="J8:K8"/>
    <mergeCell ref="E9:H9"/>
    <mergeCell ref="J9:K9"/>
    <mergeCell ref="E10:H10"/>
    <mergeCell ref="J10:K10"/>
    <mergeCell ref="J11:K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