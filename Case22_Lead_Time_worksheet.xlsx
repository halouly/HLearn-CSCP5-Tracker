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22 - Lead Time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<sst xmlns="http://schemas.openxmlformats.org/spreadsheetml/2006/main" count="144" uniqueCount="72">
  <si>
    <t xml:space="preserve">CASE 22: LEAD TIME ANALYSIS — ELEMENTS, REDUCTION, &amp; OVERLAP</t>
  </si>
  <si>
    <t xml:space="preserve">Calculation Worksheet</t>
  </si>
  <si>
    <t xml:space="preserve">SCENARIO: Analyze manufacturing lead time for a work order and identify reduction opportunities.</t>
  </si>
  <si>
    <t xml:space="preserve">HOW TO USE: Blue cells are given. Green cells are yours to compute. Self-check against the Check Figures panel.</t>
  </si>
  <si>
    <t xml:space="preserve">▸ HOW TO COMPLETE THIS CASE</t>
  </si>
  <si>
    <t xml:space="preserve">CHECK FIGURES</t>
  </si>
  <si>
    <t xml:space="preserve">Objective: (CPIM, skip for CSCP) Analyze lead-time elements and reduction.</t>
  </si>
  <si>
    <t xml:space="preserve">Self-check targets.</t>
  </si>
  <si>
    <t xml:space="preserve">Your task: Break lead time into its components and target the largest.</t>
  </si>
  <si>
    <t xml:space="preserve">% Improvement</t>
  </si>
  <si>
    <t xml:space="preserve">Approach: Reduce queue and wait time first — usually the biggest share.</t>
  </si>
  <si>
    <t xml:space="preserve">New Queue Total</t>
  </si>
  <si>
    <t xml:space="preserve">WORK ORDER DATA</t>
  </si>
  <si>
    <t xml:space="preserve">Time: ~20 min   •   Fill the shaded input cells, then check the ANSWER KEY sheet only after you finish.</t>
  </si>
  <si>
    <t xml:space="preserve">New Total LT</t>
  </si>
  <si>
    <t xml:space="preserve">Item: Machined Housing    Quantity: 100 units    Lot Size: 100</t>
  </si>
  <si>
    <t xml:space="preserve">Days Saved</t>
  </si>
  <si>
    <t xml:space="preserve">OPERATION SEQUENCE:</t>
  </si>
  <si>
    <t xml:space="preserve">Operation</t>
  </si>
  <si>
    <t xml:space="preserve">Work Center</t>
  </si>
  <si>
    <t xml:space="preserve">Setup (hr)</t>
  </si>
  <si>
    <t xml:space="preserve">Run/Unit (hr)</t>
  </si>
  <si>
    <t xml:space="preserve">Queue (hr)</t>
  </si>
  <si>
    <t xml:space="preserve">Wait (hr)</t>
  </si>
  <si>
    <t xml:space="preserve">Move (hr)</t>
  </si>
  <si>
    <t xml:space="preserve">10 - Cut</t>
  </si>
  <si>
    <t xml:space="preserve">Saw</t>
  </si>
  <si>
    <t xml:space="preserve">20 - Mill</t>
  </si>
  <si>
    <t xml:space="preserve">CNC Mill</t>
  </si>
  <si>
    <t xml:space="preserve">30 - Drill</t>
  </si>
  <si>
    <t xml:space="preserve">Drill Press</t>
  </si>
  <si>
    <t xml:space="preserve">40 - Finish</t>
  </si>
  <si>
    <t xml:space="preserve">Grind</t>
  </si>
  <si>
    <t xml:space="preserve">PART A: LEAD TIME CALCULATION</t>
  </si>
  <si>
    <t xml:space="preserve">Q1: Calculate Run Time for each operation.</t>
  </si>
  <si>
    <t xml:space="preserve">    Formula: Run Time = Quantity × Run/Unit</t>
  </si>
  <si>
    <t xml:space="preserve">    Op 10 Run:</t>
  </si>
  <si>
    <t xml:space="preserve">    Op 20 Run:</t>
  </si>
  <si>
    <t xml:space="preserve">    Op 30 Run:</t>
  </si>
  <si>
    <t xml:space="preserve">    Op 40 Run:</t>
  </si>
  <si>
    <t xml:space="preserve">Q2: Calculate Operation Lead Time for each.</t>
  </si>
  <si>
    <t xml:space="preserve">    Formula: Op LT = Queue + Setup + Run + Wait + Move</t>
  </si>
  <si>
    <t xml:space="preserve">    Op 10 LT:</t>
  </si>
  <si>
    <t xml:space="preserve">    Op 20 LT:</t>
  </si>
  <si>
    <t xml:space="preserve">    Op 30 LT:</t>
  </si>
  <si>
    <t xml:space="preserve">    Op 40 LT:</t>
  </si>
  <si>
    <t xml:space="preserve">Q3: Calculate Total Manufacturing Lead Time.</t>
  </si>
  <si>
    <t xml:space="preserve">    Total LT:</t>
  </si>
  <si>
    <t xml:space="preserve">PART B: LEAD TIME ANALYSIS</t>
  </si>
  <si>
    <t xml:space="preserve">Q4: What percentage of total LT is Queue Time?</t>
  </si>
  <si>
    <t xml:space="preserve">    Total Queue Time:</t>
  </si>
  <si>
    <t xml:space="preserve">    Queue %:</t>
  </si>
  <si>
    <t xml:space="preserve">Q5: What percentage is actual value-added (Run) time?</t>
  </si>
  <si>
    <t xml:space="preserve">    Total Run Time:</t>
  </si>
  <si>
    <t xml:space="preserve">    Value-Added %:</t>
  </si>
  <si>
    <t xml:space="preserve">PART C: LEAD TIME REDUCTION — OVERLAP/LAP PHASING</t>
  </si>
  <si>
    <t xml:space="preserve">Instead of waiting for full lot of 100, use transfer batch of 25 units.</t>
  </si>
  <si>
    <t xml:space="preserve">Q6: With overlap, when can Op 20 start after Op 10 begins?</t>
  </si>
  <si>
    <t xml:space="preserve">    Time for first 25 units at Op 10:</t>
  </si>
  <si>
    <t xml:space="preserve">    (Setup + 25 × Run/Unit)</t>
  </si>
  <si>
    <t xml:space="preserve">Q7: Calculate new total LT with overlap (transfer batch = 25).</t>
  </si>
  <si>
    <t xml:space="preserve">    Hint: Only last transfer batch goes through full sequence</t>
  </si>
  <si>
    <t xml:space="preserve">    New Total LT:</t>
  </si>
  <si>
    <t xml:space="preserve">~35 (overlap; needs lap-phasing calc)</t>
  </si>
  <si>
    <t xml:space="preserve">    LT Reduction:</t>
  </si>
  <si>
    <t xml:space="preserve">    % Improvement:</t>
  </si>
  <si>
    <t xml:space="preserve">PART D: QUEUE REDUCTION SCENARIO</t>
  </si>
  <si>
    <t xml:space="preserve">Q8: If queue times are cut 50% through better scheduling, new total LT?</t>
  </si>
  <si>
    <t xml:space="preserve">    New Queue Total:</t>
  </si>
  <si>
    <t xml:space="preserve">    Days Saved:</t>
  </si>
  <si>
    <t xml:space="preserve">Solution Key</t>
  </si>
  <si>
    <t xml:space="preserve">SOLUTION: green cells show worked answers; blue cells are the given inputs.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</si>
</sst>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6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9" min="9" style="0" width="20"/>
    <col collapsed="false" customWidth="true" hidden="false" outlineLevel="0" max="14" min="14" style="0" width="24"/>
    <col collapsed="false" customWidth="true" hidden="false" outlineLevel="0" max="16" min="16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6" customFormat="false" ht="15" hidden="false" customHeight="false" outlineLevel="0" collapsed="false">
      <c r="I6" s="1" t="s">
        <v>4</v>
      </c>
      <c r="J6" s="1"/>
      <c r="K6" s="1"/>
      <c r="L6" s="1"/>
      <c r="N6" s="1" t="s">
        <v>5</v>
      </c>
      <c r="O6" s="1"/>
      <c r="P6" s="1"/>
    </row>
    <row r="7" customFormat="false" ht="23.85" hidden="false" customHeight="true" outlineLevel="0" collapsed="false">
      <c r="I7" s="4" t="s">
        <v>6</v>
      </c>
      <c r="J7" s="4"/>
      <c r="K7" s="4"/>
      <c r="L7" s="4"/>
      <c r="N7" s="5" t="s">
        <v>7</v>
      </c>
      <c r="O7" s="5"/>
      <c r="P7" s="5"/>
    </row>
    <row r="8" customFormat="false" ht="23.85" hidden="false" customHeight="true" outlineLevel="0" collapsed="false">
      <c r="I8" s="4" t="s">
        <v>8</v>
      </c>
      <c r="J8" s="4"/>
      <c r="K8" s="4"/>
      <c r="L8" s="4"/>
      <c r="N8" s="6" t="s">
        <v>9</v>
      </c>
      <c r="O8" s="6"/>
      <c r="P8" s="7" t="n">
        <v>0.4142</v>
      </c>
    </row>
    <row r="9" customFormat="false" ht="23.85" hidden="false" customHeight="true" outlineLevel="0" collapsed="false">
      <c r="I9" s="4" t="s">
        <v>10</v>
      </c>
      <c r="J9" s="4"/>
      <c r="K9" s="4"/>
      <c r="L9" s="4"/>
      <c r="N9" s="6" t="s">
        <v>11</v>
      </c>
      <c r="O9" s="6"/>
      <c r="P9" s="8" t="n">
        <v>20</v>
      </c>
    </row>
    <row r="10" customFormat="false" ht="23.85" hidden="false" customHeight="true" outlineLevel="0" collapsed="false">
      <c r="A10" s="9" t="s">
        <v>12</v>
      </c>
      <c r="I10" s="4" t="s">
        <v>13</v>
      </c>
      <c r="J10" s="4"/>
      <c r="K10" s="4"/>
      <c r="L10" s="4"/>
      <c r="N10" s="6" t="s">
        <v>14</v>
      </c>
      <c r="O10" s="6"/>
      <c r="P10" s="10" t="n">
        <v>39.75</v>
      </c>
    </row>
    <row r="11" customFormat="false" ht="15" hidden="false" customHeight="false" outlineLevel="0" collapsed="false">
      <c r="A11" s="9" t="s">
        <v>15</v>
      </c>
      <c r="N11" s="6" t="s">
        <v>16</v>
      </c>
      <c r="O11" s="6"/>
      <c r="P11" s="10" t="n">
        <v>2.5</v>
      </c>
    </row>
    <row r="13" customFormat="false" ht="15" hidden="false" customHeight="false" outlineLevel="0" collapsed="false">
      <c r="A13" s="9" t="s">
        <v>17</v>
      </c>
    </row>
    <row r="14" customFormat="false" ht="15" hidden="false" customHeight="false" outlineLevel="0" collapsed="false">
      <c r="A14" s="9" t="s">
        <v>18</v>
      </c>
      <c r="B14" s="9" t="s">
        <v>19</v>
      </c>
      <c r="C14" s="9" t="s">
        <v>20</v>
      </c>
      <c r="D14" s="9" t="s">
        <v>21</v>
      </c>
      <c r="E14" s="9" t="s">
        <v>22</v>
      </c>
      <c r="F14" s="9" t="s">
        <v>23</v>
      </c>
      <c r="G14" s="9" t="s">
        <v>24</v>
      </c>
    </row>
    <row r="15" customFormat="false" ht="15" hidden="false" customHeight="false" outlineLevel="0" collapsed="false">
      <c r="A15" s="9" t="s">
        <v>25</v>
      </c>
      <c r="B15" s="9" t="s">
        <v>26</v>
      </c>
      <c r="C15" s="9" t="n">
        <v>0.5</v>
      </c>
      <c r="D15" s="9" t="n">
        <v>0.02</v>
      </c>
      <c r="E15" s="9" t="n">
        <v>8</v>
      </c>
      <c r="F15" s="9" t="n">
        <v>1</v>
      </c>
      <c r="G15" s="9" t="n">
        <v>0.5</v>
      </c>
    </row>
    <row r="16" customFormat="false" ht="15" hidden="false" customHeight="false" outlineLevel="0" collapsed="false">
      <c r="A16" s="9" t="s">
        <v>27</v>
      </c>
      <c r="B16" s="9" t="s">
        <v>28</v>
      </c>
      <c r="C16" s="9" t="n">
        <v>1</v>
      </c>
      <c r="D16" s="9" t="n">
        <v>0.05</v>
      </c>
      <c r="E16" s="9" t="n">
        <v>16</v>
      </c>
      <c r="F16" s="9" t="n">
        <v>2</v>
      </c>
      <c r="G16" s="9" t="n">
        <v>0.5</v>
      </c>
    </row>
    <row r="17" customFormat="false" ht="15" hidden="false" customHeight="false" outlineLevel="0" collapsed="false">
      <c r="A17" s="9" t="s">
        <v>29</v>
      </c>
      <c r="B17" s="9" t="s">
        <v>30</v>
      </c>
      <c r="C17" s="9" t="n">
        <v>0.25</v>
      </c>
      <c r="D17" s="9" t="n">
        <v>0.01</v>
      </c>
      <c r="E17" s="9" t="n">
        <v>4</v>
      </c>
      <c r="F17" s="9" t="n">
        <v>0.5</v>
      </c>
      <c r="G17" s="9" t="n">
        <v>0.5</v>
      </c>
    </row>
    <row r="18" customFormat="false" ht="15" hidden="false" customHeight="false" outlineLevel="0" collapsed="false">
      <c r="A18" s="9" t="s">
        <v>31</v>
      </c>
      <c r="B18" s="9" t="s">
        <v>32</v>
      </c>
      <c r="C18" s="9" t="n">
        <v>0.5</v>
      </c>
      <c r="D18" s="9" t="n">
        <v>0.03</v>
      </c>
      <c r="E18" s="9" t="n">
        <v>12</v>
      </c>
      <c r="F18" s="9" t="n">
        <v>1</v>
      </c>
      <c r="G18" s="9" t="n">
        <v>0.5</v>
      </c>
    </row>
    <row r="20" customFormat="false" ht="15" hidden="false" customHeight="false" outlineLevel="0" collapsed="false">
      <c r="A20" s="9" t="s">
        <v>33</v>
      </c>
    </row>
    <row r="22" customFormat="false" ht="15" hidden="false" customHeight="false" outlineLevel="0" collapsed="false">
      <c r="A22" s="9" t="s">
        <v>34</v>
      </c>
    </row>
    <row r="23" customFormat="false" ht="15" hidden="false" customHeight="false" outlineLevel="0" collapsed="false">
      <c r="A23" s="9" t="s">
        <v>35</v>
      </c>
    </row>
    <row r="24" customFormat="false" ht="15" hidden="false" customHeight="false" outlineLevel="0" collapsed="false">
      <c r="A24" s="9" t="s">
        <v>36</v>
      </c>
      <c r="C24" s="11"/>
    </row>
    <row r="25" customFormat="false" ht="15" hidden="false" customHeight="false" outlineLevel="0" collapsed="false">
      <c r="A25" s="9" t="s">
        <v>37</v>
      </c>
      <c r="C25" s="11"/>
    </row>
    <row r="26" customFormat="false" ht="15" hidden="false" customHeight="false" outlineLevel="0" collapsed="false">
      <c r="A26" s="9" t="s">
        <v>38</v>
      </c>
      <c r="C26" s="11"/>
    </row>
    <row r="27" customFormat="false" ht="15" hidden="false" customHeight="false" outlineLevel="0" collapsed="false">
      <c r="A27" s="9" t="s">
        <v>39</v>
      </c>
      <c r="C27" s="11"/>
    </row>
    <row r="29" customFormat="false" ht="15" hidden="false" customHeight="false" outlineLevel="0" collapsed="false">
      <c r="A29" s="9" t="s">
        <v>40</v>
      </c>
    </row>
    <row r="30" customFormat="false" ht="15" hidden="false" customHeight="false" outlineLevel="0" collapsed="false">
      <c r="A30" s="9" t="s">
        <v>41</v>
      </c>
    </row>
    <row r="31" customFormat="false" ht="15" hidden="false" customHeight="false" outlineLevel="0" collapsed="false">
      <c r="A31" s="9" t="s">
        <v>42</v>
      </c>
      <c r="C31" s="12"/>
    </row>
    <row r="32" customFormat="false" ht="15" hidden="false" customHeight="false" outlineLevel="0" collapsed="false">
      <c r="A32" s="9" t="s">
        <v>43</v>
      </c>
      <c r="C32" s="12"/>
    </row>
    <row r="33" customFormat="false" ht="15" hidden="false" customHeight="false" outlineLevel="0" collapsed="false">
      <c r="A33" s="9" t="s">
        <v>44</v>
      </c>
      <c r="C33" s="12"/>
    </row>
    <row r="34" customFormat="false" ht="15" hidden="false" customHeight="false" outlineLevel="0" collapsed="false">
      <c r="A34" s="9" t="s">
        <v>45</v>
      </c>
      <c r="C34" s="12"/>
    </row>
    <row r="36" customFormat="false" ht="15" hidden="false" customHeight="false" outlineLevel="0" collapsed="false">
      <c r="A36" s="9" t="s">
        <v>46</v>
      </c>
    </row>
    <row r="37" customFormat="false" ht="15" hidden="false" customHeight="false" outlineLevel="0" collapsed="false">
      <c r="A37" s="9" t="s">
        <v>47</v>
      </c>
      <c r="C37" s="12"/>
    </row>
    <row r="38" customFormat="false" ht="15" hidden="false" customHeight="false" outlineLevel="0" collapsed="false">
      <c r="A38" s="9" t="s">
        <v>47</v>
      </c>
      <c r="C38" s="12"/>
    </row>
    <row r="40" customFormat="false" ht="15" hidden="false" customHeight="false" outlineLevel="0" collapsed="false">
      <c r="A40" s="9" t="s">
        <v>48</v>
      </c>
    </row>
    <row r="42" customFormat="false" ht="15" hidden="false" customHeight="false" outlineLevel="0" collapsed="false">
      <c r="A42" s="9" t="s">
        <v>49</v>
      </c>
    </row>
    <row r="43" customFormat="false" ht="15" hidden="false" customHeight="false" outlineLevel="0" collapsed="false">
      <c r="A43" s="9" t="s">
        <v>50</v>
      </c>
      <c r="C43" s="11"/>
    </row>
    <row r="44" customFormat="false" ht="15" hidden="false" customHeight="false" outlineLevel="0" collapsed="false">
      <c r="A44" s="9" t="s">
        <v>51</v>
      </c>
      <c r="C44" s="13"/>
    </row>
    <row r="46" customFormat="false" ht="15" hidden="false" customHeight="false" outlineLevel="0" collapsed="false">
      <c r="A46" s="9" t="s">
        <v>52</v>
      </c>
    </row>
    <row r="47" customFormat="false" ht="15" hidden="false" customHeight="false" outlineLevel="0" collapsed="false">
      <c r="A47" s="9" t="s">
        <v>53</v>
      </c>
      <c r="C47" s="11"/>
    </row>
    <row r="48" customFormat="false" ht="15" hidden="false" customHeight="false" outlineLevel="0" collapsed="false">
      <c r="A48" s="9" t="s">
        <v>54</v>
      </c>
      <c r="C48" s="13"/>
    </row>
    <row r="50" customFormat="false" ht="15" hidden="false" customHeight="false" outlineLevel="0" collapsed="false">
      <c r="A50" s="9" t="s">
        <v>55</v>
      </c>
    </row>
    <row r="52" customFormat="false" ht="15" hidden="false" customHeight="false" outlineLevel="0" collapsed="false">
      <c r="A52" s="9" t="s">
        <v>56</v>
      </c>
    </row>
    <row r="54" customFormat="false" ht="15" hidden="false" customHeight="false" outlineLevel="0" collapsed="false">
      <c r="A54" s="9" t="s">
        <v>57</v>
      </c>
    </row>
    <row r="55" customFormat="false" ht="15" hidden="false" customHeight="false" outlineLevel="0" collapsed="false">
      <c r="A55" s="9" t="s">
        <v>58</v>
      </c>
      <c r="C55" s="12"/>
    </row>
    <row r="56" customFormat="false" ht="15" hidden="false" customHeight="false" outlineLevel="0" collapsed="false">
      <c r="A56" s="9" t="s">
        <v>59</v>
      </c>
    </row>
    <row r="58" customFormat="false" ht="15" hidden="false" customHeight="false" outlineLevel="0" collapsed="false">
      <c r="A58" s="9" t="s">
        <v>60</v>
      </c>
    </row>
    <row r="59" customFormat="false" ht="15" hidden="false" customHeight="false" outlineLevel="0" collapsed="false">
      <c r="A59" s="9" t="s">
        <v>61</v>
      </c>
    </row>
    <row r="60" customFormat="false" ht="15" hidden="false" customHeight="false" outlineLevel="0" collapsed="false">
      <c r="A60" s="9" t="s">
        <v>62</v>
      </c>
      <c r="C60" s="9" t="s">
        <v>63</v>
      </c>
    </row>
    <row r="61" customFormat="false" ht="15" hidden="false" customHeight="false" outlineLevel="0" collapsed="false">
      <c r="A61" s="9" t="s">
        <v>64</v>
      </c>
      <c r="C61" s="14"/>
    </row>
    <row r="62" customFormat="false" ht="15" hidden="false" customHeight="false" outlineLevel="0" collapsed="false">
      <c r="A62" s="9" t="s">
        <v>65</v>
      </c>
      <c r="C62" s="14"/>
    </row>
    <row r="64" customFormat="false" ht="15" hidden="false" customHeight="false" outlineLevel="0" collapsed="false">
      <c r="A64" s="9" t="s">
        <v>66</v>
      </c>
    </row>
    <row r="66" customFormat="false" ht="15" hidden="false" customHeight="false" outlineLevel="0" collapsed="false">
      <c r="A66" s="9" t="s">
        <v>67</v>
      </c>
    </row>
    <row r="67" customFormat="false" ht="15" hidden="false" customHeight="false" outlineLevel="0" collapsed="false">
      <c r="A67" s="9" t="s">
        <v>68</v>
      </c>
      <c r="C67" s="11"/>
    </row>
    <row r="68" customFormat="false" ht="15" hidden="false" customHeight="false" outlineLevel="0" collapsed="false">
      <c r="A68" s="9" t="s">
        <v>62</v>
      </c>
      <c r="C68" s="12"/>
    </row>
    <row r="69" customFormat="false" ht="15" hidden="false" customHeight="false" outlineLevel="0" collapsed="false">
      <c r="A69" s="9" t="s">
        <v>69</v>
      </c>
      <c r="C69" s="12"/>
    </row>
  </sheetData>
  <mergeCells count="15">
    <mergeCell ref="A1:L1"/>
    <mergeCell ref="A2:L2"/>
    <mergeCell ref="A3:L3"/>
    <mergeCell ref="A4:L4"/>
    <mergeCell ref="I6:L6"/>
    <mergeCell ref="N6:P6"/>
    <mergeCell ref="I7:L7"/>
    <mergeCell ref="N7:P7"/>
    <mergeCell ref="I8:L8"/>
    <mergeCell ref="N8:O8"/>
    <mergeCell ref="I9:L9"/>
    <mergeCell ref="N9:O9"/>
    <mergeCell ref="I10:L10"/>
    <mergeCell ref="N10:O10"/>
    <mergeCell ref="N11:O11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9" min="9" style="0" width="20"/>
    <col collapsed="false" customWidth="true" hidden="false" outlineLevel="0" max="14" min="14" style="0" width="24"/>
    <col collapsed="false" customWidth="true" hidden="false" outlineLevel="0" max="16" min="16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 t="s">
        <v>70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true" outlineLevel="0" collapsed="false">
      <c r="A4" s="3" t="s">
        <v>71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6" customFormat="false" ht="15" hidden="false" customHeight="false" outlineLevel="0" collapsed="false">
      <c r="I6" s="1" t="s">
        <v>4</v>
      </c>
      <c r="J6" s="1"/>
      <c r="K6" s="1"/>
      <c r="L6" s="1"/>
      <c r="N6" s="1" t="s">
        <v>5</v>
      </c>
      <c r="O6" s="1"/>
      <c r="P6" s="1"/>
    </row>
    <row r="7" customFormat="false" ht="23.85" hidden="false" customHeight="true" outlineLevel="0" collapsed="false">
      <c r="I7" s="4" t="s">
        <v>6</v>
      </c>
      <c r="J7" s="4"/>
      <c r="K7" s="4"/>
      <c r="L7" s="4"/>
      <c r="N7" s="5" t="s">
        <v>7</v>
      </c>
      <c r="O7" s="5"/>
      <c r="P7" s="5"/>
    </row>
    <row r="8" customFormat="false" ht="23.85" hidden="false" customHeight="true" outlineLevel="0" collapsed="false">
      <c r="I8" s="4" t="s">
        <v>8</v>
      </c>
      <c r="J8" s="4"/>
      <c r="K8" s="4"/>
      <c r="L8" s="4"/>
      <c r="N8" s="6" t="s">
        <v>9</v>
      </c>
      <c r="O8" s="6"/>
      <c r="P8" s="7" t="n">
        <v>0.4142</v>
      </c>
    </row>
    <row r="9" customFormat="false" ht="23.85" hidden="false" customHeight="true" outlineLevel="0" collapsed="false">
      <c r="I9" s="4" t="s">
        <v>10</v>
      </c>
      <c r="J9" s="4"/>
      <c r="K9" s="4"/>
      <c r="L9" s="4"/>
      <c r="N9" s="6" t="s">
        <v>11</v>
      </c>
      <c r="O9" s="6"/>
      <c r="P9" s="8" t="n">
        <v>20</v>
      </c>
    </row>
    <row r="10" customFormat="false" ht="23.85" hidden="false" customHeight="true" outlineLevel="0" collapsed="false">
      <c r="A10" s="9" t="s">
        <v>12</v>
      </c>
      <c r="I10" s="4" t="s">
        <v>13</v>
      </c>
      <c r="J10" s="4"/>
      <c r="K10" s="4"/>
      <c r="L10" s="4"/>
      <c r="N10" s="6" t="s">
        <v>14</v>
      </c>
      <c r="O10" s="6"/>
      <c r="P10" s="10" t="n">
        <v>39.75</v>
      </c>
    </row>
    <row r="11" customFormat="false" ht="15" hidden="false" customHeight="false" outlineLevel="0" collapsed="false">
      <c r="A11" s="9" t="s">
        <v>15</v>
      </c>
      <c r="N11" s="6" t="s">
        <v>16</v>
      </c>
      <c r="O11" s="6"/>
      <c r="P11" s="10" t="n">
        <v>2.5</v>
      </c>
    </row>
    <row r="13" customFormat="false" ht="15" hidden="false" customHeight="false" outlineLevel="0" collapsed="false">
      <c r="A13" s="9" t="s">
        <v>17</v>
      </c>
    </row>
    <row r="14" customFormat="false" ht="15" hidden="false" customHeight="false" outlineLevel="0" collapsed="false">
      <c r="A14" s="9" t="s">
        <v>18</v>
      </c>
      <c r="B14" s="9" t="s">
        <v>19</v>
      </c>
      <c r="C14" s="9" t="s">
        <v>20</v>
      </c>
      <c r="D14" s="9" t="s">
        <v>21</v>
      </c>
      <c r="E14" s="9" t="s">
        <v>22</v>
      </c>
      <c r="F14" s="9" t="s">
        <v>23</v>
      </c>
      <c r="G14" s="9" t="s">
        <v>24</v>
      </c>
    </row>
    <row r="15" customFormat="false" ht="15" hidden="false" customHeight="false" outlineLevel="0" collapsed="false">
      <c r="A15" s="9" t="s">
        <v>25</v>
      </c>
      <c r="B15" s="9" t="s">
        <v>26</v>
      </c>
      <c r="C15" s="9" t="n">
        <v>0.5</v>
      </c>
      <c r="D15" s="9" t="n">
        <v>0.02</v>
      </c>
      <c r="E15" s="9" t="n">
        <v>8</v>
      </c>
      <c r="F15" s="9" t="n">
        <v>1</v>
      </c>
      <c r="G15" s="9" t="n">
        <v>0.5</v>
      </c>
    </row>
    <row r="16" customFormat="false" ht="15" hidden="false" customHeight="false" outlineLevel="0" collapsed="false">
      <c r="A16" s="9" t="s">
        <v>27</v>
      </c>
      <c r="B16" s="9" t="s">
        <v>28</v>
      </c>
      <c r="C16" s="9" t="n">
        <v>1</v>
      </c>
      <c r="D16" s="9" t="n">
        <v>0.05</v>
      </c>
      <c r="E16" s="9" t="n">
        <v>16</v>
      </c>
      <c r="F16" s="9" t="n">
        <v>2</v>
      </c>
      <c r="G16" s="9" t="n">
        <v>0.5</v>
      </c>
    </row>
    <row r="17" customFormat="false" ht="15" hidden="false" customHeight="false" outlineLevel="0" collapsed="false">
      <c r="A17" s="9" t="s">
        <v>29</v>
      </c>
      <c r="B17" s="9" t="s">
        <v>30</v>
      </c>
      <c r="C17" s="9" t="n">
        <v>0.25</v>
      </c>
      <c r="D17" s="9" t="n">
        <v>0.01</v>
      </c>
      <c r="E17" s="9" t="n">
        <v>4</v>
      </c>
      <c r="F17" s="9" t="n">
        <v>0.5</v>
      </c>
      <c r="G17" s="9" t="n">
        <v>0.5</v>
      </c>
    </row>
    <row r="18" customFormat="false" ht="15" hidden="false" customHeight="false" outlineLevel="0" collapsed="false">
      <c r="A18" s="9" t="s">
        <v>31</v>
      </c>
      <c r="B18" s="9" t="s">
        <v>32</v>
      </c>
      <c r="C18" s="9" t="n">
        <v>0.5</v>
      </c>
      <c r="D18" s="9" t="n">
        <v>0.03</v>
      </c>
      <c r="E18" s="9" t="n">
        <v>12</v>
      </c>
      <c r="F18" s="9" t="n">
        <v>1</v>
      </c>
      <c r="G18" s="9" t="n">
        <v>0.5</v>
      </c>
    </row>
    <row r="20" customFormat="false" ht="15" hidden="false" customHeight="false" outlineLevel="0" collapsed="false">
      <c r="A20" s="9" t="s">
        <v>33</v>
      </c>
    </row>
    <row r="22" customFormat="false" ht="15" hidden="false" customHeight="false" outlineLevel="0" collapsed="false">
      <c r="A22" s="9" t="s">
        <v>34</v>
      </c>
    </row>
    <row r="23" customFormat="false" ht="15" hidden="false" customHeight="false" outlineLevel="0" collapsed="false">
      <c r="A23" s="9" t="s">
        <v>35</v>
      </c>
    </row>
    <row r="24" customFormat="false" ht="15" hidden="false" customHeight="false" outlineLevel="0" collapsed="false">
      <c r="A24" s="9" t="s">
        <v>36</v>
      </c>
      <c r="C24" s="11" t="n">
        <f aca="false">100*D15</f>
        <v>2</v>
      </c>
    </row>
    <row r="25" customFormat="false" ht="15" hidden="false" customHeight="false" outlineLevel="0" collapsed="false">
      <c r="A25" s="9" t="s">
        <v>37</v>
      </c>
      <c r="C25" s="11" t="n">
        <f aca="false">100*D16</f>
        <v>5</v>
      </c>
    </row>
    <row r="26" customFormat="false" ht="15" hidden="false" customHeight="false" outlineLevel="0" collapsed="false">
      <c r="A26" s="9" t="s">
        <v>38</v>
      </c>
      <c r="C26" s="11" t="n">
        <f aca="false">100*D17</f>
        <v>1</v>
      </c>
    </row>
    <row r="27" customFormat="false" ht="15" hidden="false" customHeight="false" outlineLevel="0" collapsed="false">
      <c r="A27" s="9" t="s">
        <v>39</v>
      </c>
      <c r="C27" s="11" t="n">
        <f aca="false">100*D18</f>
        <v>3</v>
      </c>
    </row>
    <row r="29" customFormat="false" ht="15" hidden="false" customHeight="false" outlineLevel="0" collapsed="false">
      <c r="A29" s="9" t="s">
        <v>40</v>
      </c>
    </row>
    <row r="30" customFormat="false" ht="15" hidden="false" customHeight="false" outlineLevel="0" collapsed="false">
      <c r="A30" s="9" t="s">
        <v>41</v>
      </c>
    </row>
    <row r="31" customFormat="false" ht="15" hidden="false" customHeight="false" outlineLevel="0" collapsed="false">
      <c r="A31" s="9" t="s">
        <v>42</v>
      </c>
      <c r="C31" s="12" t="n">
        <f aca="false">E15+C15+C24+F15+G15</f>
        <v>12</v>
      </c>
    </row>
    <row r="32" customFormat="false" ht="15" hidden="false" customHeight="false" outlineLevel="0" collapsed="false">
      <c r="A32" s="9" t="s">
        <v>43</v>
      </c>
      <c r="C32" s="12" t="n">
        <f aca="false">E16+C16+C25+F16+G16</f>
        <v>24.5</v>
      </c>
    </row>
    <row r="33" customFormat="false" ht="15" hidden="false" customHeight="false" outlineLevel="0" collapsed="false">
      <c r="A33" s="9" t="s">
        <v>44</v>
      </c>
      <c r="C33" s="12" t="n">
        <f aca="false">E17+C17+C26+F17+G17</f>
        <v>6.25</v>
      </c>
    </row>
    <row r="34" customFormat="false" ht="15" hidden="false" customHeight="false" outlineLevel="0" collapsed="false">
      <c r="A34" s="9" t="s">
        <v>45</v>
      </c>
      <c r="C34" s="12" t="n">
        <f aca="false">E18+C18+C27+F18+G18</f>
        <v>17</v>
      </c>
    </row>
    <row r="36" customFormat="false" ht="15" hidden="false" customHeight="false" outlineLevel="0" collapsed="false">
      <c r="A36" s="9" t="s">
        <v>46</v>
      </c>
    </row>
    <row r="37" customFormat="false" ht="15" hidden="false" customHeight="false" outlineLevel="0" collapsed="false">
      <c r="A37" s="9" t="s">
        <v>47</v>
      </c>
      <c r="C37" s="12" t="n">
        <f aca="false">SUM(C31:C34)</f>
        <v>59.75</v>
      </c>
    </row>
    <row r="38" customFormat="false" ht="15" hidden="false" customHeight="false" outlineLevel="0" collapsed="false">
      <c r="A38" s="9" t="s">
        <v>47</v>
      </c>
      <c r="C38" s="12" t="n">
        <f aca="false">C37/8</f>
        <v>7.46875</v>
      </c>
    </row>
    <row r="40" customFormat="false" ht="15" hidden="false" customHeight="false" outlineLevel="0" collapsed="false">
      <c r="A40" s="9" t="s">
        <v>48</v>
      </c>
    </row>
    <row r="42" customFormat="false" ht="15" hidden="false" customHeight="false" outlineLevel="0" collapsed="false">
      <c r="A42" s="9" t="s">
        <v>49</v>
      </c>
    </row>
    <row r="43" customFormat="false" ht="15" hidden="false" customHeight="false" outlineLevel="0" collapsed="false">
      <c r="A43" s="9" t="s">
        <v>50</v>
      </c>
      <c r="C43" s="11" t="n">
        <f aca="false">SUM(E15:E18)</f>
        <v>40</v>
      </c>
    </row>
    <row r="44" customFormat="false" ht="15" hidden="false" customHeight="false" outlineLevel="0" collapsed="false">
      <c r="A44" s="9" t="s">
        <v>51</v>
      </c>
      <c r="C44" s="13" t="n">
        <f aca="false">C43/C37</f>
        <v>0.669456066945607</v>
      </c>
    </row>
    <row r="46" customFormat="false" ht="15" hidden="false" customHeight="false" outlineLevel="0" collapsed="false">
      <c r="A46" s="9" t="s">
        <v>52</v>
      </c>
    </row>
    <row r="47" customFormat="false" ht="15" hidden="false" customHeight="false" outlineLevel="0" collapsed="false">
      <c r="A47" s="9" t="s">
        <v>53</v>
      </c>
      <c r="C47" s="11" t="n">
        <f aca="false">SUM(C24:C27)</f>
        <v>11</v>
      </c>
    </row>
    <row r="48" customFormat="false" ht="15" hidden="false" customHeight="false" outlineLevel="0" collapsed="false">
      <c r="A48" s="9" t="s">
        <v>54</v>
      </c>
      <c r="C48" s="13" t="n">
        <f aca="false">C47/C37</f>
        <v>0.184100418410042</v>
      </c>
    </row>
    <row r="50" customFormat="false" ht="15" hidden="false" customHeight="false" outlineLevel="0" collapsed="false">
      <c r="A50" s="9" t="s">
        <v>55</v>
      </c>
    </row>
    <row r="52" customFormat="false" ht="15" hidden="false" customHeight="false" outlineLevel="0" collapsed="false">
      <c r="A52" s="9" t="s">
        <v>56</v>
      </c>
    </row>
    <row r="54" customFormat="false" ht="15" hidden="false" customHeight="false" outlineLevel="0" collapsed="false">
      <c r="A54" s="9" t="s">
        <v>57</v>
      </c>
    </row>
    <row r="55" customFormat="false" ht="15" hidden="false" customHeight="false" outlineLevel="0" collapsed="false">
      <c r="A55" s="9" t="s">
        <v>58</v>
      </c>
      <c r="C55" s="12" t="n">
        <f aca="false">C15+25*D15</f>
        <v>1</v>
      </c>
    </row>
    <row r="56" customFormat="false" ht="15" hidden="false" customHeight="false" outlineLevel="0" collapsed="false">
      <c r="A56" s="9" t="s">
        <v>59</v>
      </c>
    </row>
    <row r="58" customFormat="false" ht="15" hidden="false" customHeight="false" outlineLevel="0" collapsed="false">
      <c r="A58" s="9" t="s">
        <v>60</v>
      </c>
    </row>
    <row r="59" customFormat="false" ht="15" hidden="false" customHeight="false" outlineLevel="0" collapsed="false">
      <c r="A59" s="9" t="s">
        <v>61</v>
      </c>
    </row>
    <row r="60" customFormat="false" ht="15" hidden="false" customHeight="false" outlineLevel="0" collapsed="false">
      <c r="A60" s="9" t="s">
        <v>62</v>
      </c>
      <c r="C60" s="9" t="s">
        <v>63</v>
      </c>
    </row>
    <row r="61" customFormat="false" ht="15" hidden="false" customHeight="false" outlineLevel="0" collapsed="false">
      <c r="A61" s="9" t="s">
        <v>64</v>
      </c>
      <c r="C61" s="14" t="n">
        <f aca="false">C37-35</f>
        <v>24.75</v>
      </c>
    </row>
    <row r="62" customFormat="false" ht="15" hidden="false" customHeight="false" outlineLevel="0" collapsed="false">
      <c r="A62" s="9" t="s">
        <v>65</v>
      </c>
      <c r="C62" s="14" t="n">
        <f aca="false">(C37-35)/C37</f>
        <v>0.414225941422594</v>
      </c>
    </row>
    <row r="64" customFormat="false" ht="15" hidden="false" customHeight="false" outlineLevel="0" collapsed="false">
      <c r="A64" s="9" t="s">
        <v>66</v>
      </c>
    </row>
    <row r="66" customFormat="false" ht="15" hidden="false" customHeight="false" outlineLevel="0" collapsed="false">
      <c r="A66" s="9" t="s">
        <v>67</v>
      </c>
    </row>
    <row r="67" customFormat="false" ht="15" hidden="false" customHeight="false" outlineLevel="0" collapsed="false">
      <c r="A67" s="9" t="s">
        <v>68</v>
      </c>
      <c r="C67" s="11" t="n">
        <f aca="false">C43/2</f>
        <v>20</v>
      </c>
    </row>
    <row r="68" customFormat="false" ht="15" hidden="false" customHeight="false" outlineLevel="0" collapsed="false">
      <c r="A68" s="9" t="s">
        <v>62</v>
      </c>
      <c r="C68" s="12" t="n">
        <f aca="false">C37-C67</f>
        <v>39.75</v>
      </c>
    </row>
    <row r="69" customFormat="false" ht="15" hidden="false" customHeight="false" outlineLevel="0" collapsed="false">
      <c r="A69" s="9" t="s">
        <v>69</v>
      </c>
      <c r="C69" s="12" t="n">
        <f aca="false">(C37-C68)/8</f>
        <v>2.5</v>
      </c>
    </row>
  </sheetData>
  <mergeCells count="15">
    <mergeCell ref="A1:L1"/>
    <mergeCell ref="A2:L2"/>
    <mergeCell ref="A3:L3"/>
    <mergeCell ref="A4:L4"/>
    <mergeCell ref="I6:L6"/>
    <mergeCell ref="N6:P6"/>
    <mergeCell ref="I7:L7"/>
    <mergeCell ref="N7:P7"/>
    <mergeCell ref="I8:L8"/>
    <mergeCell ref="N8:O8"/>
    <mergeCell ref="I9:L9"/>
    <mergeCell ref="N9:O9"/>
    <mergeCell ref="I10:L10"/>
    <mergeCell ref="N10:O10"/>
    <mergeCell ref="N11:O11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2026-07-08T19:17:39Z</dcterms:created>
  <dc:creator>openpyxl</dc:creator>
  <dc:description/>
  <dc:language>en-US</dc:language>
  <cp:lastModifiedBy/>
  <dcterms:modified xsi:type="dcterms:W3CDTF">2026-07-08T19:17:39Z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