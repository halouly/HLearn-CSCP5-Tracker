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23 - Periodic Review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<sst xmlns="http://schemas.openxmlformats.org/spreadsheetml/2006/main" count="182" uniqueCount="88">
  <si>
    <t xml:space="preserve">CASE 23: PERIODIC REVIEW SYSTEM — (R,S) CALCULATIONS vs CONTINUOUS REVIEW</t>
  </si>
  <si>
    <t xml:space="preserve">Calculation Worksheet</t>
  </si>
  <si>
    <t xml:space="preserve">SCENARIO: Compare continuous review (Q,R) and periodic review (R,S) inventory systems.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</si>
  <si>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</si>
  <si>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</si>
  <si>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</si>
  <si>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Compare periodic-review and continuous-review systems.</t>
  </si>
  <si>
    <t xml:space="preserve">Self-check targets.</t>
  </si>
  <si>
    <t xml:space="preserve">Your task: Compute the order-up-to level and contrast the two systems.</t>
  </si>
  <si>
    <t xml:space="preserve">Continuous: Q/2 + SS =</t>
  </si>
  <si>
    <t xml:space="preserve">Determine order quantities, safety stock, and system differences.</t>
  </si>
  <si>
    <t xml:space="preserve">Approach: Order-up-to = expected demand over (review period + lead time) + safety stock.</t>
  </si>
  <si>
    <t xml:space="preserve">Periodic: (d × R)/2 + SS =</t>
  </si>
  <si>
    <t xml:space="preserve">Time: ~25 min   •   Fill the shaded input cells, then check the ANSWER KEY sheet only after you finish.</t>
  </si>
  <si>
    <t xml:space="preserve">Difference</t>
  </si>
  <si>
    <t xml:space="preserve">ITEM DATA</t>
  </si>
  <si>
    <t xml:space="preserve">$ Difference</t>
  </si>
  <si>
    <t xml:space="preserve">Parameter</t>
  </si>
  <si>
    <t xml:space="preserve">Value</t>
  </si>
  <si>
    <t xml:space="preserve">Unit</t>
  </si>
  <si>
    <t xml:space="preserve">Annual Demand (D)</t>
  </si>
  <si>
    <t xml:space="preserve">units</t>
  </si>
  <si>
    <t xml:space="preserve">Daily Demand (d)</t>
  </si>
  <si>
    <t xml:space="preserve">units (260 working days)</t>
  </si>
  <si>
    <t xml:space="preserve">Standard Deviation of Daily Demand (σd)</t>
  </si>
  <si>
    <t xml:space="preserve">Lead Time (L)</t>
  </si>
  <si>
    <t xml:space="preserve">days</t>
  </si>
  <si>
    <t xml:space="preserve">Review Period (R)</t>
  </si>
  <si>
    <t xml:space="preserve">Unit Cost (C)</t>
  </si>
  <si>
    <t xml:space="preserve">$</t>
  </si>
  <si>
    <t xml:space="preserve">Ordering Cost (S)</t>
  </si>
  <si>
    <t xml:space="preserve">$/order</t>
  </si>
  <si>
    <t xml:space="preserve">Carrying Cost Rate (i)</t>
  </si>
  <si>
    <t xml:space="preserve">(25%/year)</t>
  </si>
  <si>
    <t xml:space="preserve">Service Level</t>
  </si>
  <si>
    <t xml:space="preserve">(95%)</t>
  </si>
  <si>
    <t xml:space="preserve">Z-factor for 95%</t>
  </si>
  <si>
    <t xml:space="preserve">PART A: CONTINUOUS REVIEW (Q,R) SYSTEM</t>
  </si>
  <si>
    <t xml:space="preserve">Q1: Calculate EOQ.</t>
  </si>
  <si>
    <t xml:space="preserve">    Formula: EOQ = √(2DS/iC)</t>
  </si>
  <si>
    <t xml:space="preserve">    Holding Cost H = i × C =</t>
  </si>
  <si>
    <t xml:space="preserve">    EOQ:</t>
  </si>
  <si>
    <t xml:space="preserve">Q2: Calculate Safety Stock for continuous review.</t>
  </si>
  <si>
    <t xml:space="preserve">    Formula: SS = Z × σd × √L</t>
  </si>
  <si>
    <t xml:space="preserve">    SS (continuous):</t>
  </si>
  <si>
    <t xml:space="preserve">Q3: Calculate Reorder Point.</t>
  </si>
  <si>
    <t xml:space="preserve">    Formula: ROP = d × L + SS</t>
  </si>
  <si>
    <t xml:space="preserve">    ROP:</t>
  </si>
  <si>
    <t xml:space="preserve">PART B: PERIODIC REVIEW (R,S) SYSTEM</t>
  </si>
  <si>
    <t xml:space="preserve">Q4: Calculate Safety Stock for periodic review.</t>
  </si>
  <si>
    <t xml:space="preserve">    Formula: SS = Z × σd × √(R + L)</t>
  </si>
  <si>
    <t xml:space="preserve">    SS (periodic):</t>
  </si>
  <si>
    <t xml:space="preserve">Q5: Why is periodic SS higher than continuous SS?</t>
  </si>
  <si>
    <t xml:space="preserve">    Continuous covers uncertainty over:</t>
  </si>
  <si>
    <t xml:space="preserve">    Periodic covers uncertainty over:</t>
  </si>
  <si>
    <t xml:space="preserve">    Answer:</t>
  </si>
  <si>
    <t xml:space="preserve">Q6: Calculate Target Inventory Level (T or S).</t>
  </si>
  <si>
    <t xml:space="preserve">    Formula: T = d × (R + L) + SS</t>
  </si>
  <si>
    <t xml:space="preserve">    T:</t>
  </si>
  <si>
    <t xml:space="preserve">Q7: If current inventory is 450 units, what is the order quantity?</t>
  </si>
  <si>
    <t xml:space="preserve">    Formula: Order Qty = T - I</t>
  </si>
  <si>
    <t xml:space="preserve">    Order Qty:</t>
  </si>
  <si>
    <t xml:space="preserve">Q8: If current inventory is 280 units, what is the order quantity?</t>
  </si>
  <si>
    <t xml:space="preserve">PART C: SYSTEM COMPARISON</t>
  </si>
  <si>
    <t xml:space="preserve">Continuous (Q,R)</t>
  </si>
  <si>
    <t xml:space="preserve">Periodic (R,S)</t>
  </si>
  <si>
    <t xml:space="preserve">Fixed Element</t>
  </si>
  <si>
    <t xml:space="preserve">Order Quantity (Q)</t>
  </si>
  <si>
    <t xml:space="preserve">Variable Element</t>
  </si>
  <si>
    <t xml:space="preserve">Time between orders</t>
  </si>
  <si>
    <t xml:space="preserve">Order Quantity</t>
  </si>
  <si>
    <t xml:space="preserve">Safety Stock</t>
  </si>
  <si>
    <t xml:space="preserve">Avg Inventory</t>
  </si>
  <si>
    <t xml:space="preserve">Q9: Calculate Average Inventory for each system.</t>
  </si>
  <si>
    <t xml:space="preserve">    Continuous: Q/2 + SS =</t>
  </si>
  <si>
    <t xml:space="preserve">    Periodic: (d × R)/2 + SS =</t>
  </si>
  <si>
    <t xml:space="preserve">Q10: Which system has lower inventory investment?</t>
  </si>
  <si>
    <t xml:space="preserve">Continuous (lower SS: covers L only, not R+L)</t>
  </si>
  <si>
    <t xml:space="preserve">    Difference:</t>
  </si>
  <si>
    <t xml:space="preserve">    $ Difference:</t>
  </si>
  <si>
    <t xml:space="preserve">PART D: WHEN TO USE EACH SYSTEM</t>
  </si>
  <si>
    <t xml:space="preserve">Q11: Match the situation to the best system:</t>
  </si>
  <si>
    <t xml:space="preserve">a) Periodic</t>
  </si>
  <si>
    <t xml:space="preserve">b) Continuous</t>
  </si>
  <si>
    <t xml:space="preserve">c) Periodic</t>
  </si>
  <si>
    <t xml:space="preserve">d) Continuous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</si>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</sst>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5" style="0" width="20"/>
    <col collapsed="false" customWidth="true" hidden="false" outlineLevel="0" max="10" min="10" style="0" width="24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6" customFormat="false" ht="15" hidden="false" customHeight="false" outlineLevel="0" collapsed="false">
      <c r="E6" s="1" t="s">
        <v>4</v>
      </c>
      <c r="F6" s="1"/>
      <c r="G6" s="1"/>
      <c r="H6" s="1"/>
      <c r="J6" s="1" t="s">
        <v>5</v>
      </c>
      <c r="K6" s="1"/>
      <c r="L6" s="1"/>
    </row>
    <row r="7" customFormat="false" ht="23.85" hidden="false" customHeight="true" outlineLevel="0" collapsed="false">
      <c r="E7" s="4" t="s">
        <v>6</v>
      </c>
      <c r="F7" s="4"/>
      <c r="G7" s="4"/>
      <c r="H7" s="4"/>
      <c r="J7" s="5" t="s">
        <v>7</v>
      </c>
      <c r="K7" s="5"/>
      <c r="L7" s="5"/>
    </row>
    <row r="8" customFormat="false" ht="23.85" hidden="false" customHeight="true" outlineLevel="0" collapsed="false">
      <c r="E8" s="4" t="s">
        <v>8</v>
      </c>
      <c r="F8" s="4"/>
      <c r="G8" s="4"/>
      <c r="H8" s="4"/>
      <c r="J8" s="6" t="s">
        <v>9</v>
      </c>
      <c r="K8" s="6"/>
      <c r="L8" s="7" t="n">
        <v>233.4769</v>
      </c>
    </row>
    <row r="9" customFormat="false" ht="23.85" hidden="false" customHeight="true" outlineLevel="0" collapsed="false">
      <c r="A9" s="8" t="s">
        <v>10</v>
      </c>
      <c r="E9" s="4" t="s">
        <v>11</v>
      </c>
      <c r="F9" s="4"/>
      <c r="G9" s="4"/>
      <c r="H9" s="4"/>
      <c r="J9" s="6" t="s">
        <v>12</v>
      </c>
      <c r="K9" s="6"/>
      <c r="L9" s="7" t="n">
        <v>251.1234</v>
      </c>
    </row>
    <row r="10" customFormat="false" ht="23.85" hidden="false" customHeight="true" outlineLevel="0" collapsed="false">
      <c r="E10" s="4" t="s">
        <v>13</v>
      </c>
      <c r="F10" s="4"/>
      <c r="G10" s="4"/>
      <c r="H10" s="4"/>
      <c r="J10" s="6" t="s">
        <v>14</v>
      </c>
      <c r="K10" s="6"/>
      <c r="L10" s="7" t="n">
        <v>17.6465</v>
      </c>
    </row>
    <row r="11" customFormat="false" ht="15" hidden="false" customHeight="false" outlineLevel="0" collapsed="false">
      <c r="A11" s="8" t="s">
        <v>15</v>
      </c>
      <c r="J11" s="6" t="s">
        <v>16</v>
      </c>
      <c r="K11" s="6"/>
      <c r="L11" s="7" t="n">
        <v>441.1626</v>
      </c>
    </row>
    <row r="12" customFormat="false" ht="15" hidden="false" customHeight="false" outlineLevel="0" collapsed="false">
      <c r="A12" s="8" t="s">
        <v>17</v>
      </c>
      <c r="B12" s="8" t="s">
        <v>18</v>
      </c>
      <c r="C12" s="8" t="s">
        <v>19</v>
      </c>
    </row>
    <row r="13" customFormat="false" ht="15" hidden="false" customHeight="false" outlineLevel="0" collapsed="false">
      <c r="A13" s="8" t="s">
        <v>20</v>
      </c>
      <c r="B13" s="8" t="n">
        <v>10400</v>
      </c>
      <c r="C13" s="8" t="s">
        <v>21</v>
      </c>
    </row>
    <row r="14" customFormat="false" ht="15" hidden="false" customHeight="false" outlineLevel="0" collapsed="false">
      <c r="A14" s="8" t="s">
        <v>22</v>
      </c>
      <c r="B14" s="8" t="n">
        <v>40</v>
      </c>
      <c r="C14" s="8" t="s">
        <v>23</v>
      </c>
    </row>
    <row r="15" customFormat="false" ht="15" hidden="false" customHeight="false" outlineLevel="0" collapsed="false">
      <c r="A15" s="8" t="s">
        <v>24</v>
      </c>
      <c r="B15" s="8" t="n">
        <v>8</v>
      </c>
      <c r="C15" s="8" t="s">
        <v>21</v>
      </c>
    </row>
    <row r="16" customFormat="false" ht="15" hidden="false" customHeight="false" outlineLevel="0" collapsed="false">
      <c r="A16" s="8" t="s">
        <v>25</v>
      </c>
      <c r="B16" s="8" t="n">
        <v>5</v>
      </c>
      <c r="C16" s="8" t="s">
        <v>26</v>
      </c>
    </row>
    <row r="17" customFormat="false" ht="15" hidden="false" customHeight="false" outlineLevel="0" collapsed="false">
      <c r="A17" s="8" t="s">
        <v>27</v>
      </c>
      <c r="B17" s="8" t="n">
        <v>10</v>
      </c>
      <c r="C17" s="8" t="s">
        <v>26</v>
      </c>
    </row>
    <row r="18" customFormat="false" ht="15" hidden="false" customHeight="false" outlineLevel="0" collapsed="false">
      <c r="A18" s="8" t="s">
        <v>28</v>
      </c>
      <c r="B18" s="8" t="n">
        <v>25</v>
      </c>
      <c r="C18" s="8" t="s">
        <v>29</v>
      </c>
    </row>
    <row r="19" customFormat="false" ht="15" hidden="false" customHeight="false" outlineLevel="0" collapsed="false">
      <c r="A19" s="8" t="s">
        <v>30</v>
      </c>
      <c r="B19" s="8" t="n">
        <v>50</v>
      </c>
      <c r="C19" s="8" t="s">
        <v>31</v>
      </c>
    </row>
    <row r="20" customFormat="false" ht="15" hidden="false" customHeight="false" outlineLevel="0" collapsed="false">
      <c r="A20" s="8" t="s">
        <v>32</v>
      </c>
      <c r="B20" s="8" t="n">
        <v>0.25</v>
      </c>
      <c r="C20" s="8" t="s">
        <v>33</v>
      </c>
    </row>
    <row r="21" customFormat="false" ht="15" hidden="false" customHeight="false" outlineLevel="0" collapsed="false">
      <c r="A21" s="8" t="s">
        <v>34</v>
      </c>
      <c r="B21" s="8" t="n">
        <v>0.95</v>
      </c>
      <c r="C21" s="8" t="s">
        <v>35</v>
      </c>
    </row>
    <row r="22" customFormat="false" ht="15" hidden="false" customHeight="false" outlineLevel="0" collapsed="false">
      <c r="A22" s="8" t="s">
        <v>36</v>
      </c>
      <c r="B22" s="8" t="n">
        <v>1.65</v>
      </c>
    </row>
    <row r="24" customFormat="false" ht="15" hidden="false" customHeight="false" outlineLevel="0" collapsed="false">
      <c r="A24" s="8" t="s">
        <v>37</v>
      </c>
    </row>
    <row r="26" customFormat="false" ht="15" hidden="false" customHeight="false" outlineLevel="0" collapsed="false">
      <c r="A26" s="8" t="s">
        <v>38</v>
      </c>
    </row>
    <row r="27" customFormat="false" ht="15" hidden="false" customHeight="false" outlineLevel="0" collapsed="false">
      <c r="A27" s="8" t="s">
        <v>39</v>
      </c>
    </row>
    <row r="28" customFormat="false" ht="15" hidden="false" customHeight="false" outlineLevel="0" collapsed="false">
      <c r="A28" s="8" t="s">
        <v>40</v>
      </c>
      <c r="C28" s="9"/>
    </row>
    <row r="29" customFormat="false" ht="15" hidden="false" customHeight="false" outlineLevel="0" collapsed="false">
      <c r="A29" s="8" t="s">
        <v>41</v>
      </c>
      <c r="C29" s="10"/>
    </row>
    <row r="31" customFormat="false" ht="15" hidden="false" customHeight="false" outlineLevel="0" collapsed="false">
      <c r="A31" s="8" t="s">
        <v>42</v>
      </c>
    </row>
    <row r="32" customFormat="false" ht="15" hidden="false" customHeight="false" outlineLevel="0" collapsed="false">
      <c r="A32" s="8" t="s">
        <v>43</v>
      </c>
    </row>
    <row r="33" customFormat="false" ht="15" hidden="false" customHeight="false" outlineLevel="0" collapsed="false">
      <c r="A33" s="8" t="s">
        <v>44</v>
      </c>
      <c r="C33" s="10"/>
    </row>
    <row r="35" customFormat="false" ht="15" hidden="false" customHeight="false" outlineLevel="0" collapsed="false">
      <c r="A35" s="8" t="s">
        <v>45</v>
      </c>
    </row>
    <row r="36" customFormat="false" ht="15" hidden="false" customHeight="false" outlineLevel="0" collapsed="false">
      <c r="A36" s="8" t="s">
        <v>46</v>
      </c>
    </row>
    <row r="37" customFormat="false" ht="15" hidden="false" customHeight="false" outlineLevel="0" collapsed="false">
      <c r="A37" s="8" t="s">
        <v>47</v>
      </c>
      <c r="C37" s="10"/>
    </row>
    <row r="39" customFormat="false" ht="15" hidden="false" customHeight="false" outlineLevel="0" collapsed="false">
      <c r="A39" s="8" t="s">
        <v>48</v>
      </c>
    </row>
    <row r="41" customFormat="false" ht="15" hidden="false" customHeight="false" outlineLevel="0" collapsed="false">
      <c r="A41" s="8" t="s">
        <v>49</v>
      </c>
    </row>
    <row r="42" customFormat="false" ht="15" hidden="false" customHeight="false" outlineLevel="0" collapsed="false">
      <c r="A42" s="8" t="s">
        <v>50</v>
      </c>
    </row>
    <row r="43" customFormat="false" ht="15" hidden="false" customHeight="false" outlineLevel="0" collapsed="false">
      <c r="A43" s="8" t="s">
        <v>51</v>
      </c>
      <c r="C43" s="10"/>
    </row>
    <row r="45" customFormat="false" ht="15" hidden="false" customHeight="false" outlineLevel="0" collapsed="false">
      <c r="A45" s="8" t="s">
        <v>52</v>
      </c>
    </row>
    <row r="46" customFormat="false" ht="15" hidden="false" customHeight="false" outlineLevel="0" collapsed="false">
      <c r="A46" s="8" t="s">
        <v>53</v>
      </c>
      <c r="C46" s="10"/>
    </row>
    <row r="47" customFormat="false" ht="15" hidden="false" customHeight="false" outlineLevel="0" collapsed="false">
      <c r="A47" s="8" t="s">
        <v>54</v>
      </c>
      <c r="C47" s="10"/>
    </row>
    <row r="48" customFormat="false" ht="15" hidden="false" customHeight="false" outlineLevel="0" collapsed="false">
      <c r="A48" s="8" t="s">
        <v>55</v>
      </c>
    </row>
    <row r="50" customFormat="false" ht="15" hidden="false" customHeight="false" outlineLevel="0" collapsed="false">
      <c r="A50" s="8" t="s">
        <v>56</v>
      </c>
    </row>
    <row r="51" customFormat="false" ht="15" hidden="false" customHeight="false" outlineLevel="0" collapsed="false">
      <c r="A51" s="8" t="s">
        <v>57</v>
      </c>
    </row>
    <row r="52" customFormat="false" ht="15" hidden="false" customHeight="false" outlineLevel="0" collapsed="false">
      <c r="A52" s="8" t="s">
        <v>58</v>
      </c>
      <c r="C52" s="10"/>
    </row>
    <row r="54" customFormat="false" ht="15" hidden="false" customHeight="false" outlineLevel="0" collapsed="false">
      <c r="A54" s="8" t="s">
        <v>59</v>
      </c>
    </row>
    <row r="55" customFormat="false" ht="15" hidden="false" customHeight="false" outlineLevel="0" collapsed="false">
      <c r="A55" s="8" t="s">
        <v>60</v>
      </c>
    </row>
    <row r="56" customFormat="false" ht="15" hidden="false" customHeight="false" outlineLevel="0" collapsed="false">
      <c r="A56" s="8" t="s">
        <v>61</v>
      </c>
      <c r="C56" s="10"/>
    </row>
    <row r="58" customFormat="false" ht="15" hidden="false" customHeight="false" outlineLevel="0" collapsed="false">
      <c r="A58" s="8" t="s">
        <v>62</v>
      </c>
    </row>
    <row r="59" customFormat="false" ht="15" hidden="false" customHeight="false" outlineLevel="0" collapsed="false">
      <c r="A59" s="8" t="s">
        <v>61</v>
      </c>
      <c r="C59" s="10"/>
    </row>
    <row r="61" customFormat="false" ht="15" hidden="false" customHeight="false" outlineLevel="0" collapsed="false">
      <c r="A61" s="8" t="s">
        <v>63</v>
      </c>
    </row>
    <row r="63" customFormat="false" ht="15" hidden="false" customHeight="false" outlineLevel="0" collapsed="false">
      <c r="B63" s="8" t="s">
        <v>64</v>
      </c>
      <c r="C63" s="8" t="s">
        <v>65</v>
      </c>
    </row>
    <row r="64" customFormat="false" ht="15" hidden="false" customHeight="false" outlineLevel="0" collapsed="false">
      <c r="A64" s="8" t="s">
        <v>66</v>
      </c>
      <c r="B64" s="8" t="s">
        <v>67</v>
      </c>
      <c r="C64" s="8" t="s">
        <v>27</v>
      </c>
    </row>
    <row r="65" customFormat="false" ht="15" hidden="false" customHeight="false" outlineLevel="0" collapsed="false">
      <c r="A65" s="8" t="s">
        <v>68</v>
      </c>
      <c r="B65" s="8" t="s">
        <v>69</v>
      </c>
      <c r="C65" s="8" t="s">
        <v>70</v>
      </c>
    </row>
    <row r="66" customFormat="false" ht="15" hidden="false" customHeight="false" outlineLevel="0" collapsed="false">
      <c r="A66" s="8" t="s">
        <v>71</v>
      </c>
    </row>
    <row r="67" customFormat="false" ht="15" hidden="false" customHeight="false" outlineLevel="0" collapsed="false">
      <c r="A67" s="8" t="s">
        <v>72</v>
      </c>
    </row>
    <row r="69" customFormat="false" ht="15" hidden="false" customHeight="false" outlineLevel="0" collapsed="false">
      <c r="A69" s="8" t="s">
        <v>73</v>
      </c>
    </row>
    <row r="70" customFormat="false" ht="15" hidden="false" customHeight="false" outlineLevel="0" collapsed="false">
      <c r="A70" s="8" t="s">
        <v>74</v>
      </c>
      <c r="C70" s="10"/>
    </row>
    <row r="71" customFormat="false" ht="15" hidden="false" customHeight="false" outlineLevel="0" collapsed="false">
      <c r="A71" s="8" t="s">
        <v>75</v>
      </c>
      <c r="C71" s="10"/>
    </row>
    <row r="73" customFormat="false" ht="15" hidden="false" customHeight="false" outlineLevel="0" collapsed="false">
      <c r="A73" s="8" t="s">
        <v>76</v>
      </c>
    </row>
    <row r="74" customFormat="false" ht="15" hidden="false" customHeight="false" outlineLevel="0" collapsed="false">
      <c r="A74" s="8" t="s">
        <v>55</v>
      </c>
      <c r="B74" s="8" t="s">
        <v>77</v>
      </c>
    </row>
    <row r="75" customFormat="false" ht="15" hidden="false" customHeight="false" outlineLevel="0" collapsed="false">
      <c r="A75" s="8" t="s">
        <v>78</v>
      </c>
      <c r="C75" s="10"/>
    </row>
    <row r="76" customFormat="false" ht="15" hidden="false" customHeight="false" outlineLevel="0" collapsed="false">
      <c r="A76" s="8" t="s">
        <v>79</v>
      </c>
      <c r="C76" s="10"/>
    </row>
    <row r="78" customFormat="false" ht="15" hidden="false" customHeight="false" outlineLevel="0" collapsed="false">
      <c r="A78" s="8" t="s">
        <v>80</v>
      </c>
    </row>
    <row r="80" customFormat="false" ht="15" hidden="false" customHeight="false" outlineLevel="0" collapsed="false">
      <c r="A80" s="8" t="s">
        <v>81</v>
      </c>
    </row>
    <row r="81" customFormat="false" ht="15" hidden="false" customHeight="false" outlineLevel="0" collapsed="false">
      <c r="A81" s="8" t="s">
        <v>82</v>
      </c>
    </row>
    <row r="82" customFormat="false" ht="15" hidden="false" customHeight="false" outlineLevel="0" collapsed="false">
      <c r="A82" s="8" t="s">
        <v>83</v>
      </c>
    </row>
    <row r="83" customFormat="false" ht="15" hidden="false" customHeight="false" outlineLevel="0" collapsed="false">
      <c r="A83" s="8" t="s">
        <v>84</v>
      </c>
    </row>
    <row r="84" customFormat="false" ht="15" hidden="false" customHeight="false" outlineLevel="0" collapsed="false">
      <c r="A84" s="8" t="s">
        <v>85</v>
      </c>
    </row>
  </sheetData>
  <mergeCells count="15">
    <mergeCell ref="A1:H1"/>
    <mergeCell ref="A2:H2"/>
    <mergeCell ref="A3:H3"/>
    <mergeCell ref="A4:H4"/>
    <mergeCell ref="E6:H6"/>
    <mergeCell ref="J6:L6"/>
    <mergeCell ref="E7:H7"/>
    <mergeCell ref="J7:L7"/>
    <mergeCell ref="E8:H8"/>
    <mergeCell ref="J8:K8"/>
    <mergeCell ref="E9:H9"/>
    <mergeCell ref="J9:K9"/>
    <mergeCell ref="E10:H10"/>
    <mergeCell ref="J10:K10"/>
    <mergeCell ref="J11:K1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5" style="0" width="20"/>
    <col collapsed="false" customWidth="true" hidden="false" outlineLevel="0" max="10" min="10" style="0" width="24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 t="s">
        <v>86</v>
      </c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87</v>
      </c>
      <c r="B4" s="3"/>
      <c r="C4" s="3"/>
      <c r="D4" s="3"/>
      <c r="E4" s="3"/>
      <c r="F4" s="3"/>
      <c r="G4" s="3"/>
      <c r="H4" s="3"/>
    </row>
    <row r="6" customFormat="false" ht="15" hidden="false" customHeight="false" outlineLevel="0" collapsed="false">
      <c r="E6" s="1" t="s">
        <v>4</v>
      </c>
      <c r="F6" s="1"/>
      <c r="G6" s="1"/>
      <c r="H6" s="1"/>
      <c r="J6" s="1" t="s">
        <v>5</v>
      </c>
      <c r="K6" s="1"/>
      <c r="L6" s="1"/>
    </row>
    <row r="7" customFormat="false" ht="23.85" hidden="false" customHeight="true" outlineLevel="0" collapsed="false">
      <c r="E7" s="4" t="s">
        <v>6</v>
      </c>
      <c r="F7" s="4"/>
      <c r="G7" s="4"/>
      <c r="H7" s="4"/>
      <c r="J7" s="5" t="s">
        <v>7</v>
      </c>
      <c r="K7" s="5"/>
      <c r="L7" s="5"/>
    </row>
    <row r="8" customFormat="false" ht="23.85" hidden="false" customHeight="true" outlineLevel="0" collapsed="false">
      <c r="E8" s="4" t="s">
        <v>8</v>
      </c>
      <c r="F8" s="4"/>
      <c r="G8" s="4"/>
      <c r="H8" s="4"/>
      <c r="J8" s="6" t="s">
        <v>9</v>
      </c>
      <c r="K8" s="6"/>
      <c r="L8" s="7" t="n">
        <v>233.4769</v>
      </c>
    </row>
    <row r="9" customFormat="false" ht="23.85" hidden="false" customHeight="true" outlineLevel="0" collapsed="false">
      <c r="A9" s="8" t="s">
        <v>10</v>
      </c>
      <c r="E9" s="4" t="s">
        <v>11</v>
      </c>
      <c r="F9" s="4"/>
      <c r="G9" s="4"/>
      <c r="H9" s="4"/>
      <c r="J9" s="6" t="s">
        <v>12</v>
      </c>
      <c r="K9" s="6"/>
      <c r="L9" s="7" t="n">
        <v>251.1234</v>
      </c>
    </row>
    <row r="10" customFormat="false" ht="23.85" hidden="false" customHeight="true" outlineLevel="0" collapsed="false">
      <c r="E10" s="4" t="s">
        <v>13</v>
      </c>
      <c r="F10" s="4"/>
      <c r="G10" s="4"/>
      <c r="H10" s="4"/>
      <c r="J10" s="6" t="s">
        <v>14</v>
      </c>
      <c r="K10" s="6"/>
      <c r="L10" s="7" t="n">
        <v>17.6465</v>
      </c>
    </row>
    <row r="11" customFormat="false" ht="15" hidden="false" customHeight="false" outlineLevel="0" collapsed="false">
      <c r="A11" s="8" t="s">
        <v>15</v>
      </c>
      <c r="J11" s="6" t="s">
        <v>16</v>
      </c>
      <c r="K11" s="6"/>
      <c r="L11" s="7" t="n">
        <v>441.1626</v>
      </c>
    </row>
    <row r="12" customFormat="false" ht="15" hidden="false" customHeight="false" outlineLevel="0" collapsed="false">
      <c r="A12" s="8" t="s">
        <v>17</v>
      </c>
      <c r="B12" s="8" t="s">
        <v>18</v>
      </c>
      <c r="C12" s="8" t="s">
        <v>19</v>
      </c>
    </row>
    <row r="13" customFormat="false" ht="15" hidden="false" customHeight="false" outlineLevel="0" collapsed="false">
      <c r="A13" s="8" t="s">
        <v>20</v>
      </c>
      <c r="B13" s="8" t="n">
        <v>10400</v>
      </c>
      <c r="C13" s="8" t="s">
        <v>21</v>
      </c>
    </row>
    <row r="14" customFormat="false" ht="15" hidden="false" customHeight="false" outlineLevel="0" collapsed="false">
      <c r="A14" s="8" t="s">
        <v>22</v>
      </c>
      <c r="B14" s="8" t="n">
        <v>40</v>
      </c>
      <c r="C14" s="8" t="s">
        <v>23</v>
      </c>
    </row>
    <row r="15" customFormat="false" ht="15" hidden="false" customHeight="false" outlineLevel="0" collapsed="false">
      <c r="A15" s="8" t="s">
        <v>24</v>
      </c>
      <c r="B15" s="8" t="n">
        <v>8</v>
      </c>
      <c r="C15" s="8" t="s">
        <v>21</v>
      </c>
    </row>
    <row r="16" customFormat="false" ht="15" hidden="false" customHeight="false" outlineLevel="0" collapsed="false">
      <c r="A16" s="8" t="s">
        <v>25</v>
      </c>
      <c r="B16" s="8" t="n">
        <v>5</v>
      </c>
      <c r="C16" s="8" t="s">
        <v>26</v>
      </c>
    </row>
    <row r="17" customFormat="false" ht="15" hidden="false" customHeight="false" outlineLevel="0" collapsed="false">
      <c r="A17" s="8" t="s">
        <v>27</v>
      </c>
      <c r="B17" s="8" t="n">
        <v>10</v>
      </c>
      <c r="C17" s="8" t="s">
        <v>26</v>
      </c>
    </row>
    <row r="18" customFormat="false" ht="15" hidden="false" customHeight="false" outlineLevel="0" collapsed="false">
      <c r="A18" s="8" t="s">
        <v>28</v>
      </c>
      <c r="B18" s="8" t="n">
        <v>25</v>
      </c>
      <c r="C18" s="8" t="s">
        <v>29</v>
      </c>
    </row>
    <row r="19" customFormat="false" ht="15" hidden="false" customHeight="false" outlineLevel="0" collapsed="false">
      <c r="A19" s="8" t="s">
        <v>30</v>
      </c>
      <c r="B19" s="8" t="n">
        <v>50</v>
      </c>
      <c r="C19" s="8" t="s">
        <v>31</v>
      </c>
    </row>
    <row r="20" customFormat="false" ht="15" hidden="false" customHeight="false" outlineLevel="0" collapsed="false">
      <c r="A20" s="8" t="s">
        <v>32</v>
      </c>
      <c r="B20" s="8" t="n">
        <v>0.25</v>
      </c>
      <c r="C20" s="8" t="s">
        <v>33</v>
      </c>
    </row>
    <row r="21" customFormat="false" ht="15" hidden="false" customHeight="false" outlineLevel="0" collapsed="false">
      <c r="A21" s="8" t="s">
        <v>34</v>
      </c>
      <c r="B21" s="8" t="n">
        <v>0.95</v>
      </c>
      <c r="C21" s="8" t="s">
        <v>35</v>
      </c>
    </row>
    <row r="22" customFormat="false" ht="15" hidden="false" customHeight="false" outlineLevel="0" collapsed="false">
      <c r="A22" s="8" t="s">
        <v>36</v>
      </c>
      <c r="B22" s="8" t="n">
        <v>1.65</v>
      </c>
    </row>
    <row r="24" customFormat="false" ht="15" hidden="false" customHeight="false" outlineLevel="0" collapsed="false">
      <c r="A24" s="8" t="s">
        <v>37</v>
      </c>
    </row>
    <row r="26" customFormat="false" ht="15" hidden="false" customHeight="false" outlineLevel="0" collapsed="false">
      <c r="A26" s="8" t="s">
        <v>38</v>
      </c>
    </row>
    <row r="27" customFormat="false" ht="15" hidden="false" customHeight="false" outlineLevel="0" collapsed="false">
      <c r="A27" s="8" t="s">
        <v>39</v>
      </c>
    </row>
    <row r="28" customFormat="false" ht="15" hidden="false" customHeight="false" outlineLevel="0" collapsed="false">
      <c r="A28" s="8" t="s">
        <v>40</v>
      </c>
      <c r="C28" s="9" t="n">
        <f aca="false">B20*B18</f>
        <v>6.25</v>
      </c>
    </row>
    <row r="29" customFormat="false" ht="15" hidden="false" customHeight="false" outlineLevel="0" collapsed="false">
      <c r="A29" s="8" t="s">
        <v>41</v>
      </c>
      <c r="C29" s="10" t="n">
        <f aca="false">SQRT(2*B13*B19/C28)</f>
        <v>407.921561087423</v>
      </c>
    </row>
    <row r="31" customFormat="false" ht="15" hidden="false" customHeight="false" outlineLevel="0" collapsed="false">
      <c r="A31" s="8" t="s">
        <v>42</v>
      </c>
    </row>
    <row r="32" customFormat="false" ht="15" hidden="false" customHeight="false" outlineLevel="0" collapsed="false">
      <c r="A32" s="8" t="s">
        <v>43</v>
      </c>
    </row>
    <row r="33" customFormat="false" ht="15" hidden="false" customHeight="false" outlineLevel="0" collapsed="false">
      <c r="A33" s="8" t="s">
        <v>44</v>
      </c>
      <c r="C33" s="10" t="n">
        <f aca="false">B22*B15*SQRT(B16)</f>
        <v>29.5160973029972</v>
      </c>
    </row>
    <row r="35" customFormat="false" ht="15" hidden="false" customHeight="false" outlineLevel="0" collapsed="false">
      <c r="A35" s="8" t="s">
        <v>45</v>
      </c>
    </row>
    <row r="36" customFormat="false" ht="15" hidden="false" customHeight="false" outlineLevel="0" collapsed="false">
      <c r="A36" s="8" t="s">
        <v>46</v>
      </c>
    </row>
    <row r="37" customFormat="false" ht="15" hidden="false" customHeight="false" outlineLevel="0" collapsed="false">
      <c r="A37" s="8" t="s">
        <v>47</v>
      </c>
      <c r="C37" s="10" t="n">
        <f aca="false">B14*B16+C33</f>
        <v>229.516097302997</v>
      </c>
    </row>
    <row r="39" customFormat="false" ht="15" hidden="false" customHeight="false" outlineLevel="0" collapsed="false">
      <c r="A39" s="8" t="s">
        <v>48</v>
      </c>
    </row>
    <row r="41" customFormat="false" ht="15" hidden="false" customHeight="false" outlineLevel="0" collapsed="false">
      <c r="A41" s="8" t="s">
        <v>49</v>
      </c>
    </row>
    <row r="42" customFormat="false" ht="15" hidden="false" customHeight="false" outlineLevel="0" collapsed="false">
      <c r="A42" s="8" t="s">
        <v>50</v>
      </c>
    </row>
    <row r="43" customFormat="false" ht="15" hidden="false" customHeight="false" outlineLevel="0" collapsed="false">
      <c r="A43" s="8" t="s">
        <v>51</v>
      </c>
      <c r="C43" s="10" t="n">
        <f aca="false">B22*B15*SQRT(B17+B16)</f>
        <v>51.1233801699379</v>
      </c>
    </row>
    <row r="45" customFormat="false" ht="15" hidden="false" customHeight="false" outlineLevel="0" collapsed="false">
      <c r="A45" s="8" t="s">
        <v>52</v>
      </c>
    </row>
    <row r="46" customFormat="false" ht="15" hidden="false" customHeight="false" outlineLevel="0" collapsed="false">
      <c r="A46" s="8" t="s">
        <v>53</v>
      </c>
      <c r="C46" s="10" t="n">
        <f aca="false">B16</f>
        <v>5</v>
      </c>
    </row>
    <row r="47" customFormat="false" ht="15" hidden="false" customHeight="false" outlineLevel="0" collapsed="false">
      <c r="A47" s="8" t="s">
        <v>54</v>
      </c>
      <c r="C47" s="10" t="n">
        <f aca="false">B17+B16</f>
        <v>15</v>
      </c>
    </row>
    <row r="48" customFormat="false" ht="15" hidden="false" customHeight="false" outlineLevel="0" collapsed="false">
      <c r="A48" s="8" t="s">
        <v>55</v>
      </c>
    </row>
    <row r="50" customFormat="false" ht="15" hidden="false" customHeight="false" outlineLevel="0" collapsed="false">
      <c r="A50" s="8" t="s">
        <v>56</v>
      </c>
    </row>
    <row r="51" customFormat="false" ht="15" hidden="false" customHeight="false" outlineLevel="0" collapsed="false">
      <c r="A51" s="8" t="s">
        <v>57</v>
      </c>
    </row>
    <row r="52" customFormat="false" ht="15" hidden="false" customHeight="false" outlineLevel="0" collapsed="false">
      <c r="A52" s="8" t="s">
        <v>58</v>
      </c>
      <c r="C52" s="10" t="n">
        <f aca="false">B14*(B17+B16)+C43</f>
        <v>651.123380169938</v>
      </c>
    </row>
    <row r="54" customFormat="false" ht="15" hidden="false" customHeight="false" outlineLevel="0" collapsed="false">
      <c r="A54" s="8" t="s">
        <v>59</v>
      </c>
    </row>
    <row r="55" customFormat="false" ht="15" hidden="false" customHeight="false" outlineLevel="0" collapsed="false">
      <c r="A55" s="8" t="s">
        <v>60</v>
      </c>
    </row>
    <row r="56" customFormat="false" ht="15" hidden="false" customHeight="false" outlineLevel="0" collapsed="false">
      <c r="A56" s="8" t="s">
        <v>61</v>
      </c>
      <c r="C56" s="10" t="n">
        <f aca="false">C52-450</f>
        <v>201.123380169938</v>
      </c>
    </row>
    <row r="58" customFormat="false" ht="15" hidden="false" customHeight="false" outlineLevel="0" collapsed="false">
      <c r="A58" s="8" t="s">
        <v>62</v>
      </c>
    </row>
    <row r="59" customFormat="false" ht="15" hidden="false" customHeight="false" outlineLevel="0" collapsed="false">
      <c r="A59" s="8" t="s">
        <v>61</v>
      </c>
      <c r="C59" s="10" t="n">
        <f aca="false">C52-280</f>
        <v>371.123380169938</v>
      </c>
    </row>
    <row r="61" customFormat="false" ht="15" hidden="false" customHeight="false" outlineLevel="0" collapsed="false">
      <c r="A61" s="8" t="s">
        <v>63</v>
      </c>
    </row>
    <row r="63" customFormat="false" ht="15" hidden="false" customHeight="false" outlineLevel="0" collapsed="false">
      <c r="B63" s="8" t="s">
        <v>64</v>
      </c>
      <c r="C63" s="8" t="s">
        <v>65</v>
      </c>
    </row>
    <row r="64" customFormat="false" ht="15" hidden="false" customHeight="false" outlineLevel="0" collapsed="false">
      <c r="A64" s="8" t="s">
        <v>66</v>
      </c>
      <c r="B64" s="8" t="s">
        <v>67</v>
      </c>
      <c r="C64" s="8" t="s">
        <v>27</v>
      </c>
    </row>
    <row r="65" customFormat="false" ht="15" hidden="false" customHeight="false" outlineLevel="0" collapsed="false">
      <c r="A65" s="8" t="s">
        <v>68</v>
      </c>
      <c r="B65" s="8" t="s">
        <v>69</v>
      </c>
      <c r="C65" s="8" t="s">
        <v>70</v>
      </c>
    </row>
    <row r="66" customFormat="false" ht="15" hidden="false" customHeight="false" outlineLevel="0" collapsed="false">
      <c r="A66" s="8" t="s">
        <v>71</v>
      </c>
    </row>
    <row r="67" customFormat="false" ht="15" hidden="false" customHeight="false" outlineLevel="0" collapsed="false">
      <c r="A67" s="8" t="s">
        <v>72</v>
      </c>
    </row>
    <row r="69" customFormat="false" ht="15" hidden="false" customHeight="false" outlineLevel="0" collapsed="false">
      <c r="A69" s="8" t="s">
        <v>73</v>
      </c>
    </row>
    <row r="70" customFormat="false" ht="15" hidden="false" customHeight="false" outlineLevel="0" collapsed="false">
      <c r="A70" s="8" t="s">
        <v>74</v>
      </c>
      <c r="C70" s="10" t="n">
        <f aca="false">C29/2+C33</f>
        <v>233.476877846709</v>
      </c>
    </row>
    <row r="71" customFormat="false" ht="15" hidden="false" customHeight="false" outlineLevel="0" collapsed="false">
      <c r="A71" s="8" t="s">
        <v>75</v>
      </c>
      <c r="C71" s="10" t="n">
        <f aca="false">(B14*B17)/2+C43</f>
        <v>251.123380169938</v>
      </c>
    </row>
    <row r="73" customFormat="false" ht="15" hidden="false" customHeight="false" outlineLevel="0" collapsed="false">
      <c r="A73" s="8" t="s">
        <v>76</v>
      </c>
    </row>
    <row r="74" customFormat="false" ht="15" hidden="false" customHeight="false" outlineLevel="0" collapsed="false">
      <c r="A74" s="8" t="s">
        <v>55</v>
      </c>
      <c r="B74" s="8" t="s">
        <v>77</v>
      </c>
    </row>
    <row r="75" customFormat="false" ht="15" hidden="false" customHeight="false" outlineLevel="0" collapsed="false">
      <c r="A75" s="8" t="s">
        <v>78</v>
      </c>
      <c r="C75" s="10" t="n">
        <f aca="false">C71-C70</f>
        <v>17.6465023232293</v>
      </c>
    </row>
    <row r="76" customFormat="false" ht="15" hidden="false" customHeight="false" outlineLevel="0" collapsed="false">
      <c r="A76" s="8" t="s">
        <v>79</v>
      </c>
      <c r="C76" s="10" t="n">
        <f aca="false">C75*B18</f>
        <v>441.162558080732</v>
      </c>
    </row>
    <row r="78" customFormat="false" ht="15" hidden="false" customHeight="false" outlineLevel="0" collapsed="false">
      <c r="A78" s="8" t="s">
        <v>80</v>
      </c>
    </row>
    <row r="80" customFormat="false" ht="15" hidden="false" customHeight="false" outlineLevel="0" collapsed="false">
      <c r="A80" s="8" t="s">
        <v>81</v>
      </c>
    </row>
    <row r="81" customFormat="false" ht="15" hidden="false" customHeight="false" outlineLevel="0" collapsed="false">
      <c r="A81" s="8" t="s">
        <v>82</v>
      </c>
    </row>
    <row r="82" customFormat="false" ht="15" hidden="false" customHeight="false" outlineLevel="0" collapsed="false">
      <c r="A82" s="8" t="s">
        <v>83</v>
      </c>
    </row>
    <row r="83" customFormat="false" ht="15" hidden="false" customHeight="false" outlineLevel="0" collapsed="false">
      <c r="A83" s="8" t="s">
        <v>84</v>
      </c>
    </row>
    <row r="84" customFormat="false" ht="15" hidden="false" customHeight="false" outlineLevel="0" collapsed="false">
      <c r="A84" s="8" t="s">
        <v>85</v>
      </c>
    </row>
  </sheetData>
  <mergeCells count="15">
    <mergeCell ref="A1:H1"/>
    <mergeCell ref="A2:H2"/>
    <mergeCell ref="A3:H3"/>
    <mergeCell ref="A4:H4"/>
    <mergeCell ref="E6:H6"/>
    <mergeCell ref="J6:L6"/>
    <mergeCell ref="E7:H7"/>
    <mergeCell ref="J7:L7"/>
    <mergeCell ref="E8:H8"/>
    <mergeCell ref="J8:K8"/>
    <mergeCell ref="E9:H9"/>
    <mergeCell ref="J9:K9"/>
    <mergeCell ref="E10:H10"/>
    <mergeCell ref="J10:K10"/>
    <mergeCell ref="J11:K1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