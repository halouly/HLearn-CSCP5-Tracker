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24 - Transport Mode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<sst xmlns="http://schemas.openxmlformats.org/spreadsheetml/2006/main" count="154" uniqueCount="61">
  <si>
    <t xml:space="preserve">CASE 24: TRANSPORTATION MODE SELECTION &amp; TOTAL LOGISTICS COST</t>
  </si>
  <si>
    <t xml:space="preserve">Calculation Worksheet</t>
  </si>
  <si>
    <t xml:space="preserve">SCENARIO: A consumer electronics company ships finished goods from its factory in Shenzhen, China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</si>
  <si>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</si>
  <si>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</si>
  <si>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</si>
  <si>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Choose a transport mode on total logistics cost — not freight alone.</t>
  </si>
  <si>
    <t xml:space="preserve">Self-check targets.</t>
  </si>
  <si>
    <t xml:space="preserve">Your task: Compute all six cost components for each mode and compare.</t>
  </si>
  <si>
    <t xml:space="preserve">TOTAL COST PER CONTAINER</t>
  </si>
  <si>
    <t xml:space="preserve">to a regional DC in Chicago, IL. Evaluate transportation modes and calculate total logistics cost.</t>
  </si>
  <si>
    <t xml:space="preserve">Approach: Add freight, customs, insurance, in-transit inventory, damage and safety-stock cost; slow modes tie up inventory.</t>
  </si>
  <si>
    <t xml:space="preserve">Annual volume: 2,400 containers (TEU equivalent). Product value: $50,000 per container.</t>
  </si>
  <si>
    <t xml:space="preserve">Time: ~30 min   •   Fill the shaded input cells, then check the ANSWER KEY sheet only after you finish.</t>
  </si>
  <si>
    <t xml:space="preserve">SHIPMENT PARAMETERS</t>
  </si>
  <si>
    <t xml:space="preserve">Given values (blue) — do not change.</t>
  </si>
  <si>
    <t xml:space="preserve">ANNUAL TOTAL COST (× 2,400)</t>
  </si>
  <si>
    <t xml:space="preserve">Parameter</t>
  </si>
  <si>
    <t xml:space="preserve">Value</t>
  </si>
  <si>
    <t xml:space="preserve">Unit</t>
  </si>
  <si>
    <t xml:space="preserve">Annual Volume</t>
  </si>
  <si>
    <t xml:space="preserve">TEU/year</t>
  </si>
  <si>
    <t xml:space="preserve">Product Value per Container</t>
  </si>
  <si>
    <t xml:space="preserve">$/container</t>
  </si>
  <si>
    <t xml:space="preserve">Inventory Carrying Cost Rate</t>
  </si>
  <si>
    <t xml:space="preserve">% per year</t>
  </si>
  <si>
    <t xml:space="preserve">Daily Inventory Cost per Container</t>
  </si>
  <si>
    <t xml:space="preserve">$/day</t>
  </si>
  <si>
    <t xml:space="preserve">Stockout Cost per Day (lost sales)</t>
  </si>
  <si>
    <t xml:space="preserve">TRANSPORTATION MODE COMPARISON</t>
  </si>
  <si>
    <t xml:space="preserve">Factor</t>
  </si>
  <si>
    <t xml:space="preserve">Ocean (FCL)</t>
  </si>
  <si>
    <t xml:space="preserve">Air Freight</t>
  </si>
  <si>
    <t xml:space="preserve">Ocean+Rail</t>
  </si>
  <si>
    <t xml:space="preserve">Air+Truck</t>
  </si>
  <si>
    <t xml:space="preserve">Transit Time (days)</t>
  </si>
  <si>
    <t xml:space="preserve">Transit Time Variability (std dev, days)</t>
  </si>
  <si>
    <t xml:space="preserve">Freight Cost per Container ($)</t>
  </si>
  <si>
    <t xml:space="preserve">Customs/Handling ($)</t>
  </si>
  <si>
    <t xml:space="preserve">Insurance (% of value)</t>
  </si>
  <si>
    <t xml:space="preserve">Damage/Loss Rate</t>
  </si>
  <si>
    <t xml:space="preserve">TOTAL LOGISTICS COST CALCULATION (per container)</t>
  </si>
  <si>
    <t xml:space="preserve">Work each green cell using the formula shown.</t>
  </si>
  <si>
    <t xml:space="preserve">Cost Component</t>
  </si>
  <si>
    <t xml:space="preserve">1. Freight Cost</t>
  </si>
  <si>
    <t xml:space="preserve">2. Customs/Handling</t>
  </si>
  <si>
    <t xml:space="preserve">3. Insurance Cost (Value × Rate)</t>
  </si>
  <si>
    <t xml:space="preserve">4. In-Transit Inventory Cost (Value × Rate/365 × Days)</t>
  </si>
  <si>
    <t xml:space="preserve">5. Damage/Loss Cost (Value × Loss Rate)</t>
  </si>
  <si>
    <t xml:space="preserve">6. Safety Stock Cost (Z×σ×Daily Inv Cost, Z=1.65)</t>
  </si>
  <si>
    <t xml:space="preserve">EXAM-STYLE QUESTIONS:</t>
  </si>
  <si>
    <t xml:space="preserve">Answer using the results you computed above.</t>
  </si>
  <si>
    <t xml:space="preserve">Q1: What is the total logistics cost per container for Ocean FCL?</t>
  </si>
  <si>
    <t xml:space="preserve">Answer:</t>
  </si>
  <si>
    <t xml:space="preserve">Q2: What is the annual cost difference between Ocean FCL and Air Freight?</t>
  </si>
  <si>
    <t xml:space="preserve">Q3: At what product value does Air Freight become cheaper than Ocean (considering in-transit inventory)?</t>
  </si>
  <si>
    <t xml:space="preserve">Q4: If transit variability for Ocean doubles to 10 days, how does safety stock cost change?</t>
  </si>
  <si>
    <t xml:space="preserve">Q5: Which mode is best for a product launch requiring speed-to-market? Why?</t>
  </si>
  <si>
    <t xml:space="preserve">Q6: A 3PL offers Ocean+Rail at $2,800/container but 28-day transit. Is this better than standard Ocean+Rail?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</si>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</sst>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5197.9452</v>
      </c>
    </row>
    <row r="9" customFormat="false" ht="35.0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9</v>
      </c>
      <c r="P9" s="6"/>
      <c r="Q9" s="7" t="n">
        <v>19104.7945</v>
      </c>
    </row>
    <row r="10" customFormat="false" ht="23.85" hidden="false" customHeight="true" outlineLevel="0" collapsed="false">
      <c r="A10" s="8" t="s">
        <v>12</v>
      </c>
      <c r="J10" s="4" t="s">
        <v>13</v>
      </c>
      <c r="K10" s="4"/>
      <c r="L10" s="4"/>
      <c r="M10" s="4"/>
      <c r="O10" s="6" t="s">
        <v>9</v>
      </c>
      <c r="P10" s="6"/>
      <c r="Q10" s="7" t="n">
        <v>5515.7534</v>
      </c>
    </row>
    <row r="11" customFormat="false" ht="15" hidden="false" customHeight="false" outlineLevel="0" collapsed="false">
      <c r="O11" s="6" t="s">
        <v>9</v>
      </c>
      <c r="P11" s="6"/>
      <c r="Q11" s="7" t="n">
        <v>21182.1918</v>
      </c>
    </row>
    <row r="12" customFormat="false" ht="15" hidden="false" customHeight="false" outlineLevel="0" collapsed="false">
      <c r="A12" s="8" t="s">
        <v>14</v>
      </c>
      <c r="C12" s="9" t="s">
        <v>15</v>
      </c>
      <c r="D12" s="9"/>
      <c r="E12" s="9"/>
      <c r="F12" s="9"/>
      <c r="G12" s="9"/>
      <c r="H12" s="9"/>
      <c r="I12" s="9"/>
      <c r="J12" s="9"/>
      <c r="K12" s="9"/>
      <c r="L12" s="9"/>
      <c r="M12" s="9"/>
      <c r="O12" s="6" t="s">
        <v>16</v>
      </c>
      <c r="P12" s="6"/>
      <c r="Q12" s="7" t="n">
        <v>12475068.4932</v>
      </c>
    </row>
    <row r="13" customFormat="false" ht="15" hidden="false" customHeight="false" outlineLevel="0" collapsed="false">
      <c r="A13" s="8" t="s">
        <v>17</v>
      </c>
      <c r="B13" s="8" t="s">
        <v>18</v>
      </c>
      <c r="C13" s="8" t="s">
        <v>19</v>
      </c>
      <c r="O13" s="6" t="s">
        <v>16</v>
      </c>
      <c r="P13" s="6"/>
      <c r="Q13" s="7" t="n">
        <v>45851506.8493</v>
      </c>
    </row>
    <row r="14" customFormat="false" ht="15" hidden="false" customHeight="false" outlineLevel="0" collapsed="false">
      <c r="A14" s="10" t="s">
        <v>20</v>
      </c>
      <c r="B14" s="10" t="n">
        <v>2400</v>
      </c>
      <c r="C14" s="10" t="s">
        <v>21</v>
      </c>
      <c r="O14" s="6" t="s">
        <v>16</v>
      </c>
      <c r="P14" s="6"/>
      <c r="Q14" s="7" t="n">
        <v>13237808.2192</v>
      </c>
    </row>
    <row r="15" customFormat="false" ht="15" hidden="false" customHeight="false" outlineLevel="0" collapsed="false">
      <c r="A15" s="10" t="s">
        <v>22</v>
      </c>
      <c r="B15" s="10" t="n">
        <v>50000</v>
      </c>
      <c r="C15" s="10" t="s">
        <v>23</v>
      </c>
      <c r="O15" s="6" t="s">
        <v>16</v>
      </c>
      <c r="P15" s="6"/>
      <c r="Q15" s="7" t="n">
        <v>50837260.274</v>
      </c>
    </row>
    <row r="16" customFormat="false" ht="15" hidden="false" customHeight="false" outlineLevel="0" collapsed="false">
      <c r="A16" s="10" t="s">
        <v>24</v>
      </c>
      <c r="B16" s="10" t="n">
        <v>0.2</v>
      </c>
      <c r="C16" s="10" t="s">
        <v>25</v>
      </c>
    </row>
    <row r="17" customFormat="false" ht="15" hidden="false" customHeight="false" outlineLevel="0" collapsed="false">
      <c r="A17" s="10" t="s">
        <v>26</v>
      </c>
      <c r="C17" s="10" t="s">
        <v>27</v>
      </c>
      <c r="D17" s="11"/>
    </row>
    <row r="18" customFormat="false" ht="15" hidden="false" customHeight="false" outlineLevel="0" collapsed="false">
      <c r="A18" s="10" t="s">
        <v>28</v>
      </c>
      <c r="B18" s="10" t="n">
        <v>500</v>
      </c>
      <c r="C18" s="10" t="s">
        <v>27</v>
      </c>
    </row>
    <row r="20" customFormat="false" ht="15" hidden="false" customHeight="false" outlineLevel="0" collapsed="false">
      <c r="A20" s="8" t="s">
        <v>29</v>
      </c>
    </row>
    <row r="21" customFormat="false" ht="15" hidden="false" customHeight="false" outlineLevel="0" collapsed="false">
      <c r="A21" s="8" t="s">
        <v>30</v>
      </c>
      <c r="B21" s="8" t="s">
        <v>31</v>
      </c>
      <c r="C21" s="8" t="s">
        <v>32</v>
      </c>
      <c r="D21" s="8" t="s">
        <v>33</v>
      </c>
      <c r="E21" s="8" t="s">
        <v>34</v>
      </c>
    </row>
    <row r="22" customFormat="false" ht="15" hidden="false" customHeight="false" outlineLevel="0" collapsed="false">
      <c r="A22" s="10" t="s">
        <v>35</v>
      </c>
      <c r="B22" s="10" t="n">
        <v>30</v>
      </c>
      <c r="C22" s="10" t="n">
        <v>4</v>
      </c>
      <c r="D22" s="10" t="n">
        <v>25</v>
      </c>
      <c r="E22" s="10" t="n">
        <v>5</v>
      </c>
    </row>
    <row r="23" customFormat="false" ht="15" hidden="false" customHeight="false" outlineLevel="0" collapsed="false">
      <c r="A23" s="10" t="s">
        <v>36</v>
      </c>
      <c r="B23" s="10" t="n">
        <v>5</v>
      </c>
      <c r="C23" s="10" t="n">
        <v>1</v>
      </c>
      <c r="D23" s="10" t="n">
        <v>4</v>
      </c>
      <c r="E23" s="10" t="n">
        <v>1</v>
      </c>
    </row>
    <row r="24" customFormat="false" ht="15" hidden="false" customHeight="false" outlineLevel="0" collapsed="false">
      <c r="A24" s="10" t="s">
        <v>37</v>
      </c>
      <c r="B24" s="10" t="n">
        <v>2500</v>
      </c>
      <c r="C24" s="10" t="n">
        <v>18000</v>
      </c>
      <c r="D24" s="10" t="n">
        <v>3200</v>
      </c>
      <c r="E24" s="10" t="n">
        <v>20000</v>
      </c>
    </row>
    <row r="25" customFormat="false" ht="15" hidden="false" customHeight="false" outlineLevel="0" collapsed="false">
      <c r="A25" s="10" t="s">
        <v>38</v>
      </c>
      <c r="B25" s="10" t="n">
        <v>400</v>
      </c>
      <c r="C25" s="10" t="n">
        <v>600</v>
      </c>
      <c r="D25" s="10" t="n">
        <v>500</v>
      </c>
      <c r="E25" s="10" t="n">
        <v>650</v>
      </c>
    </row>
    <row r="26" customFormat="false" ht="15" hidden="false" customHeight="false" outlineLevel="0" collapsed="false">
      <c r="A26" s="10" t="s">
        <v>39</v>
      </c>
      <c r="B26" s="10" t="n">
        <v>0.005</v>
      </c>
      <c r="C26" s="10" t="n">
        <v>0.002</v>
      </c>
      <c r="D26" s="10" t="n">
        <v>0.004</v>
      </c>
      <c r="E26" s="10" t="n">
        <v>0.002</v>
      </c>
    </row>
    <row r="27" customFormat="false" ht="15" hidden="false" customHeight="false" outlineLevel="0" collapsed="false">
      <c r="A27" s="10" t="s">
        <v>40</v>
      </c>
      <c r="B27" s="10" t="n">
        <v>0.02</v>
      </c>
      <c r="C27" s="10" t="n">
        <v>0.005</v>
      </c>
      <c r="D27" s="10" t="n">
        <v>0.015</v>
      </c>
      <c r="E27" s="10" t="n">
        <v>0.005</v>
      </c>
    </row>
    <row r="29" customFormat="false" ht="15" hidden="false" customHeight="false" outlineLevel="0" collapsed="false">
      <c r="A29" s="8" t="s">
        <v>41</v>
      </c>
      <c r="C29" s="9" t="s">
        <v>42</v>
      </c>
      <c r="D29" s="9"/>
      <c r="E29" s="9"/>
      <c r="F29" s="9"/>
      <c r="G29" s="9"/>
      <c r="H29" s="9"/>
      <c r="I29" s="9"/>
      <c r="J29" s="9"/>
      <c r="K29" s="9"/>
      <c r="L29" s="9"/>
      <c r="M29" s="9"/>
    </row>
    <row r="30" customFormat="false" ht="15" hidden="false" customHeight="false" outlineLevel="0" collapsed="false">
      <c r="A30" s="8" t="s">
        <v>43</v>
      </c>
      <c r="B30" s="8" t="s">
        <v>31</v>
      </c>
      <c r="C30" s="8" t="s">
        <v>32</v>
      </c>
      <c r="D30" s="8" t="s">
        <v>33</v>
      </c>
      <c r="E30" s="8" t="s">
        <v>34</v>
      </c>
    </row>
    <row r="31" customFormat="false" ht="15" hidden="false" customHeight="false" outlineLevel="0" collapsed="false">
      <c r="A31" s="10" t="s">
        <v>44</v>
      </c>
      <c r="B31" s="12"/>
      <c r="C31" s="12"/>
      <c r="D31" s="12"/>
      <c r="E31" s="12"/>
    </row>
    <row r="32" customFormat="false" ht="15" hidden="false" customHeight="false" outlineLevel="0" collapsed="false">
      <c r="A32" s="10" t="s">
        <v>45</v>
      </c>
      <c r="B32" s="12"/>
      <c r="C32" s="12"/>
      <c r="D32" s="12"/>
      <c r="E32" s="12"/>
    </row>
    <row r="33" customFormat="false" ht="15" hidden="false" customHeight="false" outlineLevel="0" collapsed="false">
      <c r="A33" s="10" t="s">
        <v>46</v>
      </c>
      <c r="B33" s="12"/>
      <c r="C33" s="12"/>
      <c r="D33" s="12"/>
      <c r="E33" s="12"/>
    </row>
    <row r="34" customFormat="false" ht="15" hidden="false" customHeight="false" outlineLevel="0" collapsed="false">
      <c r="A34" s="10" t="s">
        <v>47</v>
      </c>
      <c r="B34" s="12"/>
      <c r="C34" s="12"/>
      <c r="D34" s="12"/>
      <c r="E34" s="12"/>
    </row>
    <row r="35" customFormat="false" ht="15" hidden="false" customHeight="false" outlineLevel="0" collapsed="false">
      <c r="A35" s="10" t="s">
        <v>48</v>
      </c>
      <c r="B35" s="12"/>
      <c r="C35" s="12"/>
      <c r="D35" s="12"/>
      <c r="E35" s="12"/>
    </row>
    <row r="36" customFormat="false" ht="15" hidden="false" customHeight="false" outlineLevel="0" collapsed="false">
      <c r="A36" s="10" t="s">
        <v>49</v>
      </c>
      <c r="B36" s="12"/>
      <c r="C36" s="12"/>
      <c r="D36" s="12"/>
      <c r="E36" s="12"/>
    </row>
    <row r="37" customFormat="false" ht="15" hidden="false" customHeight="false" outlineLevel="0" collapsed="false">
      <c r="A37" s="10" t="s">
        <v>9</v>
      </c>
      <c r="B37" s="13"/>
      <c r="C37" s="13"/>
      <c r="D37" s="13"/>
      <c r="E37" s="13"/>
    </row>
    <row r="38" customFormat="false" ht="15" hidden="false" customHeight="false" outlineLevel="0" collapsed="false">
      <c r="A38" s="10" t="s">
        <v>16</v>
      </c>
      <c r="B38" s="13"/>
      <c r="C38" s="13"/>
      <c r="D38" s="13"/>
      <c r="E38" s="13"/>
    </row>
    <row r="40" customFormat="false" ht="15" hidden="false" customHeight="false" outlineLevel="0" collapsed="false">
      <c r="A40" s="8" t="s">
        <v>50</v>
      </c>
      <c r="C40" s="9" t="s">
        <v>51</v>
      </c>
      <c r="D40" s="9"/>
      <c r="E40" s="9"/>
      <c r="F40" s="9"/>
      <c r="G40" s="9"/>
      <c r="H40" s="9"/>
      <c r="I40" s="9"/>
      <c r="J40" s="9"/>
      <c r="K40" s="9"/>
      <c r="L40" s="9"/>
      <c r="M40" s="9"/>
    </row>
    <row r="41" customFormat="false" ht="15" hidden="false" customHeight="false" outlineLevel="0" collapsed="false">
      <c r="A41" s="8" t="s">
        <v>52</v>
      </c>
      <c r="G41" s="10" t="s">
        <v>53</v>
      </c>
    </row>
    <row r="42" customFormat="false" ht="15" hidden="false" customHeight="false" outlineLevel="0" collapsed="false">
      <c r="A42" s="8" t="s">
        <v>54</v>
      </c>
      <c r="G42" s="10" t="s">
        <v>53</v>
      </c>
    </row>
    <row r="43" customFormat="false" ht="15" hidden="false" customHeight="false" outlineLevel="0" collapsed="false">
      <c r="A43" s="8" t="s">
        <v>55</v>
      </c>
      <c r="G43" s="10" t="s">
        <v>53</v>
      </c>
    </row>
    <row r="44" customFormat="false" ht="15" hidden="false" customHeight="false" outlineLevel="0" collapsed="false">
      <c r="A44" s="8" t="s">
        <v>56</v>
      </c>
      <c r="G44" s="10" t="s">
        <v>53</v>
      </c>
    </row>
    <row r="45" customFormat="false" ht="15" hidden="false" customHeight="false" outlineLevel="0" collapsed="false">
      <c r="A45" s="8" t="s">
        <v>57</v>
      </c>
      <c r="G45" s="10" t="s">
        <v>53</v>
      </c>
    </row>
    <row r="46" customFormat="false" ht="15" hidden="false" customHeight="false" outlineLevel="0" collapsed="false">
      <c r="A46" s="8" t="s">
        <v>58</v>
      </c>
      <c r="G46" s="10" t="s">
        <v>53</v>
      </c>
    </row>
  </sheetData>
  <mergeCells count="22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12:M12"/>
    <mergeCell ref="O12:P12"/>
    <mergeCell ref="O13:P13"/>
    <mergeCell ref="O14:P14"/>
    <mergeCell ref="O15:P15"/>
    <mergeCell ref="C29:M29"/>
    <mergeCell ref="C40:M4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59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23.85" hidden="false" customHeight="true" outlineLevel="0" collapsed="false">
      <c r="J7" s="4" t="s">
        <v>6</v>
      </c>
      <c r="K7" s="4"/>
      <c r="L7" s="4"/>
      <c r="M7" s="4"/>
      <c r="O7" s="5" t="s">
        <v>7</v>
      </c>
      <c r="P7" s="5"/>
      <c r="Q7" s="5"/>
    </row>
    <row r="8" customFormat="false" ht="23.85" hidden="false" customHeight="true" outlineLevel="0" collapsed="false">
      <c r="J8" s="4" t="s">
        <v>8</v>
      </c>
      <c r="K8" s="4"/>
      <c r="L8" s="4"/>
      <c r="M8" s="4"/>
      <c r="O8" s="6" t="s">
        <v>9</v>
      </c>
      <c r="P8" s="6"/>
      <c r="Q8" s="7" t="n">
        <v>5197.9452</v>
      </c>
    </row>
    <row r="9" customFormat="false" ht="35.05" hidden="false" customHeight="true" outlineLevel="0" collapsed="false">
      <c r="A9" s="8" t="s">
        <v>10</v>
      </c>
      <c r="J9" s="4" t="s">
        <v>11</v>
      </c>
      <c r="K9" s="4"/>
      <c r="L9" s="4"/>
      <c r="M9" s="4"/>
      <c r="O9" s="6" t="s">
        <v>9</v>
      </c>
      <c r="P9" s="6"/>
      <c r="Q9" s="7" t="n">
        <v>19104.7945</v>
      </c>
    </row>
    <row r="10" customFormat="false" ht="23.85" hidden="false" customHeight="true" outlineLevel="0" collapsed="false">
      <c r="A10" s="8" t="s">
        <v>12</v>
      </c>
      <c r="J10" s="4" t="s">
        <v>13</v>
      </c>
      <c r="K10" s="4"/>
      <c r="L10" s="4"/>
      <c r="M10" s="4"/>
      <c r="O10" s="6" t="s">
        <v>9</v>
      </c>
      <c r="P10" s="6"/>
      <c r="Q10" s="7" t="n">
        <v>5515.7534</v>
      </c>
    </row>
    <row r="11" customFormat="false" ht="15" hidden="false" customHeight="false" outlineLevel="0" collapsed="false">
      <c r="O11" s="6" t="s">
        <v>9</v>
      </c>
      <c r="P11" s="6"/>
      <c r="Q11" s="7" t="n">
        <v>21182.1918</v>
      </c>
    </row>
    <row r="12" customFormat="false" ht="15" hidden="false" customHeight="false" outlineLevel="0" collapsed="false">
      <c r="A12" s="8" t="s">
        <v>14</v>
      </c>
      <c r="C12" s="9" t="s">
        <v>15</v>
      </c>
      <c r="D12" s="9"/>
      <c r="E12" s="9"/>
      <c r="F12" s="9"/>
      <c r="G12" s="9"/>
      <c r="H12" s="9"/>
      <c r="I12" s="9"/>
      <c r="J12" s="9"/>
      <c r="K12" s="9"/>
      <c r="L12" s="9"/>
      <c r="M12" s="9"/>
      <c r="O12" s="6" t="s">
        <v>16</v>
      </c>
      <c r="P12" s="6"/>
      <c r="Q12" s="7" t="n">
        <v>12475068.4932</v>
      </c>
    </row>
    <row r="13" customFormat="false" ht="15" hidden="false" customHeight="false" outlineLevel="0" collapsed="false">
      <c r="A13" s="8" t="s">
        <v>17</v>
      </c>
      <c r="B13" s="8" t="s">
        <v>18</v>
      </c>
      <c r="C13" s="8" t="s">
        <v>19</v>
      </c>
      <c r="O13" s="6" t="s">
        <v>16</v>
      </c>
      <c r="P13" s="6"/>
      <c r="Q13" s="7" t="n">
        <v>45851506.8493</v>
      </c>
    </row>
    <row r="14" customFormat="false" ht="15" hidden="false" customHeight="false" outlineLevel="0" collapsed="false">
      <c r="A14" s="10" t="s">
        <v>20</v>
      </c>
      <c r="B14" s="10" t="n">
        <v>2400</v>
      </c>
      <c r="C14" s="10" t="s">
        <v>21</v>
      </c>
      <c r="O14" s="6" t="s">
        <v>16</v>
      </c>
      <c r="P14" s="6"/>
      <c r="Q14" s="7" t="n">
        <v>13237808.2192</v>
      </c>
    </row>
    <row r="15" customFormat="false" ht="15" hidden="false" customHeight="false" outlineLevel="0" collapsed="false">
      <c r="A15" s="10" t="s">
        <v>22</v>
      </c>
      <c r="B15" s="10" t="n">
        <v>50000</v>
      </c>
      <c r="C15" s="10" t="s">
        <v>23</v>
      </c>
      <c r="O15" s="6" t="s">
        <v>16</v>
      </c>
      <c r="P15" s="6"/>
      <c r="Q15" s="7" t="n">
        <v>50837260.274</v>
      </c>
    </row>
    <row r="16" customFormat="false" ht="15" hidden="false" customHeight="false" outlineLevel="0" collapsed="false">
      <c r="A16" s="10" t="s">
        <v>24</v>
      </c>
      <c r="B16" s="10" t="n">
        <v>0.2</v>
      </c>
      <c r="C16" s="10" t="s">
        <v>25</v>
      </c>
    </row>
    <row r="17" customFormat="false" ht="15" hidden="false" customHeight="false" outlineLevel="0" collapsed="false">
      <c r="A17" s="10" t="s">
        <v>26</v>
      </c>
      <c r="C17" s="10" t="s">
        <v>27</v>
      </c>
      <c r="D17" s="11" t="n">
        <f aca="false">B15*B16/365</f>
        <v>27.3972602739726</v>
      </c>
    </row>
    <row r="18" customFormat="false" ht="15" hidden="false" customHeight="false" outlineLevel="0" collapsed="false">
      <c r="A18" s="10" t="s">
        <v>28</v>
      </c>
      <c r="B18" s="10" t="n">
        <v>500</v>
      </c>
      <c r="C18" s="10" t="s">
        <v>27</v>
      </c>
    </row>
    <row r="20" customFormat="false" ht="15" hidden="false" customHeight="false" outlineLevel="0" collapsed="false">
      <c r="A20" s="8" t="s">
        <v>29</v>
      </c>
    </row>
    <row r="21" customFormat="false" ht="15" hidden="false" customHeight="false" outlineLevel="0" collapsed="false">
      <c r="A21" s="8" t="s">
        <v>30</v>
      </c>
      <c r="B21" s="8" t="s">
        <v>31</v>
      </c>
      <c r="C21" s="8" t="s">
        <v>32</v>
      </c>
      <c r="D21" s="8" t="s">
        <v>33</v>
      </c>
      <c r="E21" s="8" t="s">
        <v>34</v>
      </c>
    </row>
    <row r="22" customFormat="false" ht="15" hidden="false" customHeight="false" outlineLevel="0" collapsed="false">
      <c r="A22" s="10" t="s">
        <v>35</v>
      </c>
      <c r="B22" s="10" t="n">
        <v>30</v>
      </c>
      <c r="C22" s="10" t="n">
        <v>4</v>
      </c>
      <c r="D22" s="10" t="n">
        <v>25</v>
      </c>
      <c r="E22" s="10" t="n">
        <v>5</v>
      </c>
    </row>
    <row r="23" customFormat="false" ht="15" hidden="false" customHeight="false" outlineLevel="0" collapsed="false">
      <c r="A23" s="10" t="s">
        <v>36</v>
      </c>
      <c r="B23" s="10" t="n">
        <v>5</v>
      </c>
      <c r="C23" s="10" t="n">
        <v>1</v>
      </c>
      <c r="D23" s="10" t="n">
        <v>4</v>
      </c>
      <c r="E23" s="10" t="n">
        <v>1</v>
      </c>
    </row>
    <row r="24" customFormat="false" ht="15" hidden="false" customHeight="false" outlineLevel="0" collapsed="false">
      <c r="A24" s="10" t="s">
        <v>37</v>
      </c>
      <c r="B24" s="10" t="n">
        <v>2500</v>
      </c>
      <c r="C24" s="10" t="n">
        <v>18000</v>
      </c>
      <c r="D24" s="10" t="n">
        <v>3200</v>
      </c>
      <c r="E24" s="10" t="n">
        <v>20000</v>
      </c>
    </row>
    <row r="25" customFormat="false" ht="15" hidden="false" customHeight="false" outlineLevel="0" collapsed="false">
      <c r="A25" s="10" t="s">
        <v>38</v>
      </c>
      <c r="B25" s="10" t="n">
        <v>400</v>
      </c>
      <c r="C25" s="10" t="n">
        <v>600</v>
      </c>
      <c r="D25" s="10" t="n">
        <v>500</v>
      </c>
      <c r="E25" s="10" t="n">
        <v>650</v>
      </c>
    </row>
    <row r="26" customFormat="false" ht="15" hidden="false" customHeight="false" outlineLevel="0" collapsed="false">
      <c r="A26" s="10" t="s">
        <v>39</v>
      </c>
      <c r="B26" s="10" t="n">
        <v>0.005</v>
      </c>
      <c r="C26" s="10" t="n">
        <v>0.002</v>
      </c>
      <c r="D26" s="10" t="n">
        <v>0.004</v>
      </c>
      <c r="E26" s="10" t="n">
        <v>0.002</v>
      </c>
    </row>
    <row r="27" customFormat="false" ht="15" hidden="false" customHeight="false" outlineLevel="0" collapsed="false">
      <c r="A27" s="10" t="s">
        <v>40</v>
      </c>
      <c r="B27" s="10" t="n">
        <v>0.02</v>
      </c>
      <c r="C27" s="10" t="n">
        <v>0.005</v>
      </c>
      <c r="D27" s="10" t="n">
        <v>0.015</v>
      </c>
      <c r="E27" s="10" t="n">
        <v>0.005</v>
      </c>
    </row>
    <row r="29" customFormat="false" ht="15" hidden="false" customHeight="false" outlineLevel="0" collapsed="false">
      <c r="A29" s="8" t="s">
        <v>41</v>
      </c>
      <c r="C29" s="9" t="s">
        <v>42</v>
      </c>
      <c r="D29" s="9"/>
      <c r="E29" s="9"/>
      <c r="F29" s="9"/>
      <c r="G29" s="9"/>
      <c r="H29" s="9"/>
      <c r="I29" s="9"/>
      <c r="J29" s="9"/>
      <c r="K29" s="9"/>
      <c r="L29" s="9"/>
      <c r="M29" s="9"/>
    </row>
    <row r="30" customFormat="false" ht="15" hidden="false" customHeight="false" outlineLevel="0" collapsed="false">
      <c r="A30" s="8" t="s">
        <v>43</v>
      </c>
      <c r="B30" s="8" t="s">
        <v>31</v>
      </c>
      <c r="C30" s="8" t="s">
        <v>32</v>
      </c>
      <c r="D30" s="8" t="s">
        <v>33</v>
      </c>
      <c r="E30" s="8" t="s">
        <v>34</v>
      </c>
    </row>
    <row r="31" customFormat="false" ht="15" hidden="false" customHeight="false" outlineLevel="0" collapsed="false">
      <c r="A31" s="10" t="s">
        <v>44</v>
      </c>
      <c r="B31" s="12" t="n">
        <f aca="false">B24</f>
        <v>2500</v>
      </c>
      <c r="C31" s="12" t="n">
        <f aca="false">C24</f>
        <v>18000</v>
      </c>
      <c r="D31" s="12" t="n">
        <f aca="false">D24</f>
        <v>3200</v>
      </c>
      <c r="E31" s="12" t="n">
        <f aca="false">E24</f>
        <v>20000</v>
      </c>
    </row>
    <row r="32" customFormat="false" ht="15" hidden="false" customHeight="false" outlineLevel="0" collapsed="false">
      <c r="A32" s="10" t="s">
        <v>45</v>
      </c>
      <c r="B32" s="12" t="n">
        <f aca="false">B25</f>
        <v>400</v>
      </c>
      <c r="C32" s="12" t="n">
        <f aca="false">C25</f>
        <v>600</v>
      </c>
      <c r="D32" s="12" t="n">
        <f aca="false">D25</f>
        <v>500</v>
      </c>
      <c r="E32" s="12" t="n">
        <f aca="false">E25</f>
        <v>650</v>
      </c>
    </row>
    <row r="33" customFormat="false" ht="15" hidden="false" customHeight="false" outlineLevel="0" collapsed="false">
      <c r="A33" s="10" t="s">
        <v>46</v>
      </c>
      <c r="B33" s="12" t="n">
        <f aca="false">$B$15*B26</f>
        <v>250</v>
      </c>
      <c r="C33" s="12" t="n">
        <f aca="false">$B$15*C26</f>
        <v>100</v>
      </c>
      <c r="D33" s="12" t="n">
        <f aca="false">$B$15*D26</f>
        <v>200</v>
      </c>
      <c r="E33" s="12" t="n">
        <f aca="false">$B$15*E26</f>
        <v>100</v>
      </c>
    </row>
    <row r="34" customFormat="false" ht="15" hidden="false" customHeight="false" outlineLevel="0" collapsed="false">
      <c r="A34" s="10" t="s">
        <v>47</v>
      </c>
      <c r="B34" s="12" t="n">
        <f aca="false">$D$17*B22</f>
        <v>821.917808219178</v>
      </c>
      <c r="C34" s="12" t="n">
        <f aca="false">$D$17*C22</f>
        <v>109.58904109589</v>
      </c>
      <c r="D34" s="12" t="n">
        <f aca="false">$D$17*D22</f>
        <v>684.931506849315</v>
      </c>
      <c r="E34" s="12" t="n">
        <f aca="false">$D$17*E22</f>
        <v>136.986301369863</v>
      </c>
    </row>
    <row r="35" customFormat="false" ht="15" hidden="false" customHeight="false" outlineLevel="0" collapsed="false">
      <c r="A35" s="10" t="s">
        <v>48</v>
      </c>
      <c r="B35" s="12" t="n">
        <f aca="false">$B$15*B27</f>
        <v>1000</v>
      </c>
      <c r="C35" s="12" t="n">
        <f aca="false">$B$15*C27</f>
        <v>250</v>
      </c>
      <c r="D35" s="12" t="n">
        <f aca="false">$B$15*D27</f>
        <v>750</v>
      </c>
      <c r="E35" s="12" t="n">
        <f aca="false">$B$15*E27</f>
        <v>250</v>
      </c>
    </row>
    <row r="36" customFormat="false" ht="15" hidden="false" customHeight="false" outlineLevel="0" collapsed="false">
      <c r="A36" s="10" t="s">
        <v>49</v>
      </c>
      <c r="B36" s="12" t="n">
        <f aca="false">1.65*B23*$D$17</f>
        <v>226.027397260274</v>
      </c>
      <c r="C36" s="12" t="n">
        <f aca="false">1.65*C23*$D$17</f>
        <v>45.2054794520548</v>
      </c>
      <c r="D36" s="12" t="n">
        <f aca="false">1.65*D23*$D$17</f>
        <v>180.821917808219</v>
      </c>
      <c r="E36" s="12" t="n">
        <f aca="false">1.65*E23*$D$17</f>
        <v>45.2054794520548</v>
      </c>
    </row>
    <row r="37" customFormat="false" ht="15" hidden="false" customHeight="false" outlineLevel="0" collapsed="false">
      <c r="A37" s="10" t="s">
        <v>9</v>
      </c>
      <c r="B37" s="13" t="n">
        <f aca="false">SUM(B31:B36)</f>
        <v>5197.94520547945</v>
      </c>
      <c r="C37" s="13" t="n">
        <f aca="false">SUM(C31:C36)</f>
        <v>19104.7945205479</v>
      </c>
      <c r="D37" s="13" t="n">
        <f aca="false">SUM(D31:D36)</f>
        <v>5515.75342465753</v>
      </c>
      <c r="E37" s="13" t="n">
        <f aca="false">SUM(E31:E36)</f>
        <v>21182.1917808219</v>
      </c>
    </row>
    <row r="38" customFormat="false" ht="15" hidden="false" customHeight="false" outlineLevel="0" collapsed="false">
      <c r="A38" s="10" t="s">
        <v>16</v>
      </c>
      <c r="B38" s="13" t="n">
        <f aca="false">B37*$B$14</f>
        <v>12475068.4931507</v>
      </c>
      <c r="C38" s="13" t="n">
        <f aca="false">C37*$B$14</f>
        <v>45851506.8493151</v>
      </c>
      <c r="D38" s="13" t="n">
        <f aca="false">D37*$B$14</f>
        <v>13237808.2191781</v>
      </c>
      <c r="E38" s="13" t="n">
        <f aca="false">E37*$B$14</f>
        <v>50837260.2739726</v>
      </c>
    </row>
    <row r="40" customFormat="false" ht="15" hidden="false" customHeight="false" outlineLevel="0" collapsed="false">
      <c r="A40" s="8" t="s">
        <v>50</v>
      </c>
      <c r="C40" s="9" t="s">
        <v>51</v>
      </c>
      <c r="D40" s="9"/>
      <c r="E40" s="9"/>
      <c r="F40" s="9"/>
      <c r="G40" s="9"/>
      <c r="H40" s="9"/>
      <c r="I40" s="9"/>
      <c r="J40" s="9"/>
      <c r="K40" s="9"/>
      <c r="L40" s="9"/>
      <c r="M40" s="9"/>
    </row>
    <row r="41" customFormat="false" ht="15" hidden="false" customHeight="false" outlineLevel="0" collapsed="false">
      <c r="A41" s="8" t="s">
        <v>52</v>
      </c>
      <c r="G41" s="10" t="s">
        <v>53</v>
      </c>
    </row>
    <row r="42" customFormat="false" ht="15" hidden="false" customHeight="false" outlineLevel="0" collapsed="false">
      <c r="A42" s="8" t="s">
        <v>54</v>
      </c>
      <c r="G42" s="10" t="s">
        <v>53</v>
      </c>
    </row>
    <row r="43" customFormat="false" ht="15" hidden="false" customHeight="false" outlineLevel="0" collapsed="false">
      <c r="A43" s="8" t="s">
        <v>55</v>
      </c>
      <c r="G43" s="10" t="s">
        <v>53</v>
      </c>
    </row>
    <row r="44" customFormat="false" ht="15" hidden="false" customHeight="false" outlineLevel="0" collapsed="false">
      <c r="A44" s="8" t="s">
        <v>56</v>
      </c>
      <c r="G44" s="10" t="s">
        <v>53</v>
      </c>
    </row>
    <row r="45" customFormat="false" ht="15" hidden="false" customHeight="false" outlineLevel="0" collapsed="false">
      <c r="A45" s="8" t="s">
        <v>57</v>
      </c>
      <c r="G45" s="10" t="s">
        <v>53</v>
      </c>
    </row>
    <row r="46" customFormat="false" ht="15" hidden="false" customHeight="false" outlineLevel="0" collapsed="false">
      <c r="A46" s="8" t="s">
        <v>58</v>
      </c>
      <c r="G46" s="10" t="s">
        <v>53</v>
      </c>
    </row>
  </sheetData>
  <mergeCells count="22">
    <mergeCell ref="A1:M1"/>
    <mergeCell ref="A2:M2"/>
    <mergeCell ref="A3:M3"/>
    <mergeCell ref="A4:M4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O11:P11"/>
    <mergeCell ref="C12:M12"/>
    <mergeCell ref="O12:P12"/>
    <mergeCell ref="O13:P13"/>
    <mergeCell ref="O14:P14"/>
    <mergeCell ref="O15:P15"/>
    <mergeCell ref="C29:M29"/>
    <mergeCell ref="C40:M4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