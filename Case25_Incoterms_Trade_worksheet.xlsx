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e 25 - Incoterms Trade" sheetId="1" state="visible" r:id="rId3"/>
    <sheet name="Solu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<sst xmlns="http://schemas.openxmlformats.org/spreadsheetml/2006/main" count="298" uniqueCount="77">
  <si>
    <t xml:space="preserve">CASE 25: INCOTERMS® 2020 &amp; GLOBAL TRADE COST ANALYSIS</t>
  </si>
  <si>
    <t xml:space="preserve">Calculation Worksheet</t>
  </si>
  <si>
    <t xml:space="preserve">SCENARIO: A manufacturer in Stuttgart, Germany sells industrial equipment to a buyer in São Paulo, Brazil.</t>
  </si>
  <si>
    <t xml:space="preserve">HOW TO USE: Blue cells are given. Green cells are yours to compute. Self-check against the Check Figures panel.</t>
  </si>
  <si>
    <t xml:space="preserve">▸ HOW TO COMPLETE THIS CASE</t>
  </si>
  <si>
    <t xml:space="preserve">CHECK FIGURES</t>
  </si>
  <si>
    <t xml:space="preserve">Objective: Map cost and risk transfer under Incoterms 2020.</t>
  </si>
  <si>
    <t xml:space="preserve">Self-check targets.</t>
  </si>
  <si>
    <t xml:space="preserve">Your task: Assign buyer/seller responsibilities and compute landed cost per term.</t>
  </si>
  <si>
    <t xml:space="preserve">Marine Cargo Insurance (0.3% of CIF)</t>
  </si>
  <si>
    <t xml:space="preserve">Analyze total landed cost under different Incoterms® and identify the optimal trade term.</t>
  </si>
  <si>
    <t xml:space="preserve">Approach: Trace the point where cost and risk pass from seller to buyer (EXW → DDP).</t>
  </si>
  <si>
    <t xml:space="preserve">Import Customs Duties (14% of CIF value)</t>
  </si>
  <si>
    <t xml:space="preserve">Equipment value: €120,000 (EXW). Shipment: 1 × 40ft container via ocean freight.</t>
  </si>
  <si>
    <t xml:space="preserve">Time: ~25 min   •   Fill the shaded input cells, then check the ANSWER KEY sheet only after you finish.</t>
  </si>
  <si>
    <t xml:space="preserve">SELLER'S TOTAL COST</t>
  </si>
  <si>
    <t xml:space="preserve">TOTAL LANDED COST</t>
  </si>
  <si>
    <t xml:space="preserve">COST ELEMENTS (EUR)</t>
  </si>
  <si>
    <t xml:space="preserve">Compute each cost component in the green cells.</t>
  </si>
  <si>
    <t xml:space="preserve">Cost Element</t>
  </si>
  <si>
    <t xml:space="preserve">Amount (€)</t>
  </si>
  <si>
    <t xml:space="preserve">Paid By</t>
  </si>
  <si>
    <t xml:space="preserve">Product Cost (EXW Stuttgart)</t>
  </si>
  <si>
    <t xml:space="preserve">Export Packing &amp; Loading</t>
  </si>
  <si>
    <t xml:space="preserve">Inland Transport: Stuttgart → Hamburg Port</t>
  </si>
  <si>
    <t xml:space="preserve">Export Customs Clearance</t>
  </si>
  <si>
    <t xml:space="preserve">Terminal Handling (Origin)</t>
  </si>
  <si>
    <t xml:space="preserve">Ocean Freight: Hamburg → Santos</t>
  </si>
  <si>
    <t xml:space="preserve">Calculate</t>
  </si>
  <si>
    <t xml:space="preserve">Terminal Handling (Destination)</t>
  </si>
  <si>
    <t xml:space="preserve">Import Customs Brokerage</t>
  </si>
  <si>
    <t xml:space="preserve">Inland Transport: Santos → São Paulo</t>
  </si>
  <si>
    <t xml:space="preserve">Unloading at Buyer's Premises</t>
  </si>
  <si>
    <t xml:space="preserve">RESPONSIBILITY MATRIX — WHO PAYS WHAT?</t>
  </si>
  <si>
    <t xml:space="preserve">EXW</t>
  </si>
  <si>
    <t xml:space="preserve">FCA</t>
  </si>
  <si>
    <t xml:space="preserve">CIF</t>
  </si>
  <si>
    <t xml:space="preserve">DAP</t>
  </si>
  <si>
    <t xml:space="preserve">DDP</t>
  </si>
  <si>
    <t xml:space="preserve">Seller (S) or Buyer (B)</t>
  </si>
  <si>
    <t xml:space="preserve">Product Cost (EXW)</t>
  </si>
  <si>
    <t xml:space="preserve">S</t>
  </si>
  <si>
    <t xml:space="preserve">B</t>
  </si>
  <si>
    <t xml:space="preserve">Inland to Port</t>
  </si>
  <si>
    <t xml:space="preserve">Export Customs</t>
  </si>
  <si>
    <t xml:space="preserve">Ocean Freight</t>
  </si>
  <si>
    <t xml:space="preserve">Marine Insurance</t>
  </si>
  <si>
    <t xml:space="preserve">Terminal (Dest)</t>
  </si>
  <si>
    <t xml:space="preserve">Import Duties</t>
  </si>
  <si>
    <t xml:space="preserve">Import Brokerage</t>
  </si>
  <si>
    <t xml:space="preserve">Inland to Buyer</t>
  </si>
  <si>
    <t xml:space="preserve">Unloading</t>
  </si>
  <si>
    <t xml:space="preserve">BUYER'S TOTAL COST</t>
  </si>
  <si>
    <t xml:space="preserve">RISK TRANSFER POINT</t>
  </si>
  <si>
    <t xml:space="preserve">Incoterm</t>
  </si>
  <si>
    <t xml:space="preserve">Risk Transfers At</t>
  </si>
  <si>
    <t xml:space="preserve">Seller's premises</t>
  </si>
  <si>
    <t xml:space="preserve">Named place (carrier)</t>
  </si>
  <si>
    <t xml:space="preserve">On board vessel (origin)</t>
  </si>
  <si>
    <t xml:space="preserve">Buyer's named place (unloaded)</t>
  </si>
  <si>
    <t xml:space="preserve">Buyer's premises (all cleared)</t>
  </si>
  <si>
    <t xml:space="preserve">EXAM-STYLE QUESTIONS:</t>
  </si>
  <si>
    <t xml:space="preserve">Answer using the results you computed above.</t>
  </si>
  <si>
    <t xml:space="preserve">Q1: Under CIF Santos, what is the seller's total cost obligation?</t>
  </si>
  <si>
    <t xml:space="preserve">≈ €129,838 (product+packing+inland+export customs+origin terminal+ocean freight+insurance)</t>
  </si>
  <si>
    <t xml:space="preserve">Q2: Under DDP São Paulo, what is the seller's total cost? What additional risk does seller bear?</t>
  </si>
  <si>
    <t xml:space="preserve">≈ €148,915 (all elements incl. duties, brokerage, dest inland, unloading); seller bears duty-rate risk</t>
  </si>
  <si>
    <t xml:space="preserve">Q3: The buyer prefers to control ocean freight. Which Incoterm should they request and why?</t>
  </si>
  <si>
    <t xml:space="preserve">FCA — gives the buyer control of main carriage / own freight rates</t>
  </si>
  <si>
    <t xml:space="preserve">Q4: If import duties increase to 22%, which party bears the cost increase under CIF? Under DDP?</t>
  </si>
  <si>
    <t xml:space="preserve">CIF → buyer bears the higher duty; DDP → seller absorbs it</t>
  </si>
  <si>
    <t xml:space="preserve">Q5: Why is EXW generally discouraged for international trade (name 2 reasons)?</t>
  </si>
  <si>
    <t xml:space="preserve">EXW: seller has no export-clearance duty; buyer must arrange pickup abroad — impractical/risky</t>
  </si>
  <si>
    <t xml:space="preserve">Q6: The seller wants maximum control and to quote a single price. Which Incoterm is best?</t>
  </si>
  <si>
    <t xml:space="preserve">DDP — single delivered price, full seller control (but seller bears import-duty risk)</t>
  </si>
  <si>
    <t xml:space="preserve">Solution Key</t>
  </si>
  <si>
    <t xml:space="preserve">SOLUTION: green cells show worked answers; blue cells are the given inputs.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</si>
</sst>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F0FD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D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10" min="10" style="0" width="20"/>
    <col collapsed="false" customWidth="true" hidden="false" outlineLevel="0" max="15" min="15" style="0" width="24"/>
    <col collapsed="false" customWidth="true" hidden="false" outlineLevel="0" max="17" min="17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6" customFormat="false" ht="15" hidden="false" customHeight="false" outlineLevel="0" collapsed="false">
      <c r="J6" s="1" t="s">
        <v>4</v>
      </c>
      <c r="K6" s="1"/>
      <c r="L6" s="1"/>
      <c r="M6" s="1"/>
      <c r="O6" s="1" t="s">
        <v>5</v>
      </c>
      <c r="P6" s="1"/>
      <c r="Q6" s="1"/>
    </row>
    <row r="7" customFormat="false" ht="23.85" hidden="false" customHeight="true" outlineLevel="0" collapsed="false">
      <c r="J7" s="4" t="s">
        <v>6</v>
      </c>
      <c r="K7" s="4"/>
      <c r="L7" s="4"/>
      <c r="M7" s="4"/>
      <c r="O7" s="5" t="s">
        <v>7</v>
      </c>
      <c r="P7" s="5"/>
      <c r="Q7" s="5"/>
    </row>
    <row r="8" customFormat="false" ht="23.85" hidden="false" customHeight="true" outlineLevel="0" collapsed="false">
      <c r="J8" s="4" t="s">
        <v>8</v>
      </c>
      <c r="K8" s="4"/>
      <c r="L8" s="4"/>
      <c r="M8" s="4"/>
      <c r="O8" s="6" t="s">
        <v>9</v>
      </c>
      <c r="P8" s="6"/>
      <c r="Q8" s="7" t="n">
        <v>388.35</v>
      </c>
    </row>
    <row r="9" customFormat="false" ht="23.85" hidden="false" customHeight="true" outlineLevel="0" collapsed="false">
      <c r="A9" s="8" t="s">
        <v>10</v>
      </c>
      <c r="J9" s="4" t="s">
        <v>11</v>
      </c>
      <c r="K9" s="4"/>
      <c r="L9" s="4"/>
      <c r="M9" s="4"/>
      <c r="O9" s="6" t="s">
        <v>12</v>
      </c>
      <c r="P9" s="6"/>
      <c r="Q9" s="7" t="n">
        <v>18177.369</v>
      </c>
    </row>
    <row r="10" customFormat="false" ht="23.85" hidden="false" customHeight="true" outlineLevel="0" collapsed="false">
      <c r="A10" s="8" t="s">
        <v>13</v>
      </c>
      <c r="J10" s="4" t="s">
        <v>14</v>
      </c>
      <c r="K10" s="4"/>
      <c r="L10" s="4"/>
      <c r="M10" s="4"/>
      <c r="O10" s="6" t="s">
        <v>15</v>
      </c>
      <c r="P10" s="6"/>
      <c r="Q10" s="7" t="n">
        <v>129838.35</v>
      </c>
    </row>
    <row r="11" customFormat="false" ht="15" hidden="false" customHeight="false" outlineLevel="0" collapsed="false">
      <c r="O11" s="6" t="s">
        <v>16</v>
      </c>
      <c r="P11" s="6"/>
      <c r="Q11" s="7" t="n">
        <v>151165.719</v>
      </c>
    </row>
    <row r="12" customFormat="false" ht="15" hidden="false" customHeight="false" outlineLevel="0" collapsed="false">
      <c r="A12" s="8" t="s">
        <v>17</v>
      </c>
      <c r="C12" s="9" t="s">
        <v>18</v>
      </c>
      <c r="D12" s="9"/>
      <c r="E12" s="9"/>
      <c r="F12" s="9"/>
      <c r="G12" s="9"/>
      <c r="H12" s="9"/>
      <c r="I12" s="9"/>
      <c r="J12" s="9"/>
      <c r="K12" s="9"/>
      <c r="L12" s="9"/>
      <c r="M12" s="9"/>
    </row>
    <row r="13" customFormat="false" ht="15" hidden="false" customHeight="false" outlineLevel="0" collapsed="false">
      <c r="A13" s="8" t="s">
        <v>19</v>
      </c>
      <c r="B13" s="8" t="s">
        <v>20</v>
      </c>
      <c r="C13" s="8" t="s">
        <v>21</v>
      </c>
    </row>
    <row r="14" customFormat="false" ht="15" hidden="false" customHeight="false" outlineLevel="0" collapsed="false">
      <c r="A14" s="10" t="s">
        <v>22</v>
      </c>
      <c r="B14" s="10" t="n">
        <v>120000</v>
      </c>
    </row>
    <row r="15" customFormat="false" ht="15" hidden="false" customHeight="false" outlineLevel="0" collapsed="false">
      <c r="A15" s="10" t="s">
        <v>23</v>
      </c>
      <c r="B15" s="10" t="n">
        <v>1800</v>
      </c>
    </row>
    <row r="16" customFormat="false" ht="15" hidden="false" customHeight="false" outlineLevel="0" collapsed="false">
      <c r="A16" s="10" t="s">
        <v>24</v>
      </c>
      <c r="B16" s="10" t="n">
        <v>2200</v>
      </c>
    </row>
    <row r="17" customFormat="false" ht="15" hidden="false" customHeight="false" outlineLevel="0" collapsed="false">
      <c r="A17" s="10" t="s">
        <v>25</v>
      </c>
      <c r="B17" s="10" t="n">
        <v>350</v>
      </c>
    </row>
    <row r="18" customFormat="false" ht="15" hidden="false" customHeight="false" outlineLevel="0" collapsed="false">
      <c r="A18" s="10" t="s">
        <v>26</v>
      </c>
      <c r="B18" s="10" t="n">
        <v>600</v>
      </c>
    </row>
    <row r="19" customFormat="false" ht="15" hidden="false" customHeight="false" outlineLevel="0" collapsed="false">
      <c r="A19" s="10" t="s">
        <v>27</v>
      </c>
      <c r="B19" s="10" t="n">
        <v>4500</v>
      </c>
    </row>
    <row r="20" customFormat="false" ht="15" hidden="false" customHeight="false" outlineLevel="0" collapsed="false">
      <c r="A20" s="10" t="s">
        <v>9</v>
      </c>
      <c r="B20" s="11"/>
      <c r="C20" s="10" t="s">
        <v>28</v>
      </c>
    </row>
    <row r="21" customFormat="false" ht="15" hidden="false" customHeight="false" outlineLevel="0" collapsed="false">
      <c r="A21" s="10" t="s">
        <v>29</v>
      </c>
      <c r="B21" s="10" t="n">
        <v>800</v>
      </c>
    </row>
    <row r="22" customFormat="false" ht="15" hidden="false" customHeight="false" outlineLevel="0" collapsed="false">
      <c r="A22" s="10" t="s">
        <v>12</v>
      </c>
      <c r="B22" s="11"/>
      <c r="C22" s="10" t="s">
        <v>28</v>
      </c>
    </row>
    <row r="23" customFormat="false" ht="15" hidden="false" customHeight="false" outlineLevel="0" collapsed="false">
      <c r="A23" s="10" t="s">
        <v>30</v>
      </c>
      <c r="B23" s="10" t="n">
        <v>450</v>
      </c>
    </row>
    <row r="24" customFormat="false" ht="15" hidden="false" customHeight="false" outlineLevel="0" collapsed="false">
      <c r="A24" s="10" t="s">
        <v>31</v>
      </c>
      <c r="B24" s="10" t="n">
        <v>1500</v>
      </c>
    </row>
    <row r="25" customFormat="false" ht="15" hidden="false" customHeight="false" outlineLevel="0" collapsed="false">
      <c r="A25" s="10" t="s">
        <v>32</v>
      </c>
      <c r="B25" s="10" t="n">
        <v>400</v>
      </c>
    </row>
    <row r="27" customFormat="false" ht="15" hidden="false" customHeight="false" outlineLevel="0" collapsed="false">
      <c r="A27" s="8" t="s">
        <v>33</v>
      </c>
    </row>
    <row r="28" customFormat="false" ht="15" hidden="false" customHeight="false" outlineLevel="0" collapsed="false">
      <c r="A28" s="8" t="s">
        <v>19</v>
      </c>
      <c r="B28" s="8" t="s">
        <v>34</v>
      </c>
      <c r="C28" s="8" t="s">
        <v>35</v>
      </c>
      <c r="D28" s="8" t="s">
        <v>36</v>
      </c>
      <c r="E28" s="8" t="s">
        <v>37</v>
      </c>
      <c r="F28" s="8" t="s">
        <v>38</v>
      </c>
      <c r="G28" s="8" t="s">
        <v>39</v>
      </c>
    </row>
    <row r="29" customFormat="false" ht="15" hidden="false" customHeight="false" outlineLevel="0" collapsed="false">
      <c r="A29" s="10" t="s">
        <v>40</v>
      </c>
      <c r="B29" s="10" t="s">
        <v>41</v>
      </c>
      <c r="C29" s="10" t="s">
        <v>41</v>
      </c>
      <c r="D29" s="10" t="s">
        <v>41</v>
      </c>
      <c r="E29" s="10" t="s">
        <v>41</v>
      </c>
      <c r="F29" s="10" t="s">
        <v>41</v>
      </c>
    </row>
    <row r="30" customFormat="false" ht="15" hidden="false" customHeight="false" outlineLevel="0" collapsed="false">
      <c r="A30" s="10" t="s">
        <v>23</v>
      </c>
      <c r="B30" s="10" t="s">
        <v>42</v>
      </c>
      <c r="C30" s="10" t="s">
        <v>41</v>
      </c>
      <c r="D30" s="10" t="s">
        <v>41</v>
      </c>
      <c r="E30" s="10" t="s">
        <v>41</v>
      </c>
      <c r="F30" s="10" t="s">
        <v>41</v>
      </c>
    </row>
    <row r="31" customFormat="false" ht="15" hidden="false" customHeight="false" outlineLevel="0" collapsed="false">
      <c r="A31" s="10" t="s">
        <v>43</v>
      </c>
      <c r="B31" s="10" t="s">
        <v>42</v>
      </c>
      <c r="C31" s="10" t="s">
        <v>41</v>
      </c>
      <c r="D31" s="10" t="s">
        <v>41</v>
      </c>
      <c r="E31" s="10" t="s">
        <v>41</v>
      </c>
      <c r="F31" s="10" t="s">
        <v>41</v>
      </c>
    </row>
    <row r="32" customFormat="false" ht="15" hidden="false" customHeight="false" outlineLevel="0" collapsed="false">
      <c r="A32" s="10" t="s">
        <v>44</v>
      </c>
      <c r="B32" s="10" t="s">
        <v>42</v>
      </c>
      <c r="C32" s="10" t="s">
        <v>41</v>
      </c>
      <c r="D32" s="10" t="s">
        <v>41</v>
      </c>
      <c r="E32" s="10" t="s">
        <v>41</v>
      </c>
      <c r="F32" s="10" t="s">
        <v>41</v>
      </c>
    </row>
    <row r="33" customFormat="false" ht="15" hidden="false" customHeight="false" outlineLevel="0" collapsed="false">
      <c r="A33" s="10" t="s">
        <v>26</v>
      </c>
      <c r="B33" s="10" t="s">
        <v>42</v>
      </c>
      <c r="C33" s="10" t="s">
        <v>41</v>
      </c>
      <c r="D33" s="10" t="s">
        <v>41</v>
      </c>
      <c r="E33" s="10" t="s">
        <v>41</v>
      </c>
      <c r="F33" s="10" t="s">
        <v>41</v>
      </c>
    </row>
    <row r="34" customFormat="false" ht="15" hidden="false" customHeight="false" outlineLevel="0" collapsed="false">
      <c r="A34" s="10" t="s">
        <v>45</v>
      </c>
      <c r="B34" s="10" t="s">
        <v>42</v>
      </c>
      <c r="C34" s="10" t="s">
        <v>42</v>
      </c>
      <c r="D34" s="10" t="s">
        <v>41</v>
      </c>
      <c r="E34" s="10" t="s">
        <v>41</v>
      </c>
      <c r="F34" s="10" t="s">
        <v>41</v>
      </c>
    </row>
    <row r="35" customFormat="false" ht="15" hidden="false" customHeight="false" outlineLevel="0" collapsed="false">
      <c r="A35" s="10" t="s">
        <v>46</v>
      </c>
      <c r="B35" s="10" t="s">
        <v>42</v>
      </c>
      <c r="C35" s="10" t="s">
        <v>42</v>
      </c>
      <c r="D35" s="10" t="s">
        <v>41</v>
      </c>
      <c r="E35" s="10" t="s">
        <v>41</v>
      </c>
      <c r="F35" s="10" t="s">
        <v>41</v>
      </c>
    </row>
    <row r="36" customFormat="false" ht="15" hidden="false" customHeight="false" outlineLevel="0" collapsed="false">
      <c r="A36" s="10" t="s">
        <v>47</v>
      </c>
      <c r="B36" s="10" t="s">
        <v>42</v>
      </c>
      <c r="C36" s="10" t="s">
        <v>42</v>
      </c>
      <c r="D36" s="10" t="s">
        <v>42</v>
      </c>
      <c r="E36" s="10" t="s">
        <v>41</v>
      </c>
      <c r="F36" s="10" t="s">
        <v>41</v>
      </c>
    </row>
    <row r="37" customFormat="false" ht="15" hidden="false" customHeight="false" outlineLevel="0" collapsed="false">
      <c r="A37" s="10" t="s">
        <v>48</v>
      </c>
      <c r="B37" s="10" t="s">
        <v>42</v>
      </c>
      <c r="C37" s="10" t="s">
        <v>42</v>
      </c>
      <c r="D37" s="10" t="s">
        <v>42</v>
      </c>
      <c r="E37" s="10" t="s">
        <v>42</v>
      </c>
      <c r="F37" s="10" t="s">
        <v>41</v>
      </c>
    </row>
    <row r="38" customFormat="false" ht="15" hidden="false" customHeight="false" outlineLevel="0" collapsed="false">
      <c r="A38" s="10" t="s">
        <v>49</v>
      </c>
      <c r="B38" s="10" t="s">
        <v>42</v>
      </c>
      <c r="C38" s="10" t="s">
        <v>42</v>
      </c>
      <c r="D38" s="10" t="s">
        <v>42</v>
      </c>
      <c r="E38" s="10" t="s">
        <v>42</v>
      </c>
      <c r="F38" s="10" t="s">
        <v>41</v>
      </c>
    </row>
    <row r="39" customFormat="false" ht="15" hidden="false" customHeight="false" outlineLevel="0" collapsed="false">
      <c r="A39" s="10" t="s">
        <v>50</v>
      </c>
      <c r="B39" s="10" t="s">
        <v>42</v>
      </c>
      <c r="C39" s="10" t="s">
        <v>42</v>
      </c>
      <c r="D39" s="10" t="s">
        <v>42</v>
      </c>
      <c r="E39" s="10" t="s">
        <v>41</v>
      </c>
      <c r="F39" s="10" t="s">
        <v>41</v>
      </c>
    </row>
    <row r="40" customFormat="false" ht="15" hidden="false" customHeight="false" outlineLevel="0" collapsed="false">
      <c r="A40" s="10" t="s">
        <v>51</v>
      </c>
      <c r="B40" s="10" t="s">
        <v>42</v>
      </c>
      <c r="C40" s="10" t="s">
        <v>42</v>
      </c>
      <c r="D40" s="10" t="s">
        <v>42</v>
      </c>
      <c r="E40" s="10" t="s">
        <v>42</v>
      </c>
      <c r="F40" s="10" t="s">
        <v>41</v>
      </c>
    </row>
    <row r="42" customFormat="false" ht="15" hidden="false" customHeight="false" outlineLevel="0" collapsed="false">
      <c r="A42" s="8" t="s">
        <v>15</v>
      </c>
      <c r="B42" s="11"/>
      <c r="C42" s="9" t="s">
        <v>18</v>
      </c>
      <c r="D42" s="9"/>
      <c r="E42" s="9"/>
      <c r="F42" s="9"/>
      <c r="G42" s="9"/>
      <c r="H42" s="9"/>
      <c r="I42" s="9"/>
      <c r="J42" s="9"/>
      <c r="K42" s="9"/>
      <c r="L42" s="9"/>
      <c r="M42" s="9"/>
    </row>
    <row r="43" customFormat="false" ht="15" hidden="false" customHeight="false" outlineLevel="0" collapsed="false">
      <c r="A43" s="8" t="s">
        <v>52</v>
      </c>
      <c r="C43" s="9" t="s">
        <v>18</v>
      </c>
      <c r="D43" s="9"/>
      <c r="E43" s="9"/>
      <c r="F43" s="9"/>
      <c r="G43" s="9"/>
      <c r="H43" s="9"/>
      <c r="I43" s="9"/>
      <c r="J43" s="9"/>
      <c r="K43" s="9"/>
      <c r="L43" s="9"/>
      <c r="M43" s="9"/>
    </row>
    <row r="44" customFormat="false" ht="15" hidden="false" customHeight="false" outlineLevel="0" collapsed="false">
      <c r="A44" s="8" t="s">
        <v>16</v>
      </c>
      <c r="B44" s="11"/>
      <c r="C44" s="9" t="s">
        <v>18</v>
      </c>
      <c r="D44" s="9"/>
      <c r="E44" s="9"/>
      <c r="F44" s="9"/>
      <c r="G44" s="9"/>
      <c r="H44" s="9"/>
      <c r="I44" s="9"/>
      <c r="J44" s="9"/>
      <c r="K44" s="9"/>
      <c r="L44" s="9"/>
      <c r="M44" s="9"/>
    </row>
    <row r="46" customFormat="false" ht="15" hidden="false" customHeight="false" outlineLevel="0" collapsed="false">
      <c r="A46" s="8" t="s">
        <v>53</v>
      </c>
    </row>
    <row r="47" customFormat="false" ht="15" hidden="false" customHeight="false" outlineLevel="0" collapsed="false">
      <c r="A47" s="8" t="s">
        <v>54</v>
      </c>
      <c r="B47" s="8" t="s">
        <v>55</v>
      </c>
    </row>
    <row r="48" customFormat="false" ht="15" hidden="false" customHeight="false" outlineLevel="0" collapsed="false">
      <c r="A48" s="10" t="s">
        <v>34</v>
      </c>
      <c r="B48" s="10" t="s">
        <v>56</v>
      </c>
    </row>
    <row r="49" customFormat="false" ht="15" hidden="false" customHeight="false" outlineLevel="0" collapsed="false">
      <c r="A49" s="10" t="s">
        <v>35</v>
      </c>
      <c r="B49" s="10" t="s">
        <v>57</v>
      </c>
    </row>
    <row r="50" customFormat="false" ht="15" hidden="false" customHeight="false" outlineLevel="0" collapsed="false">
      <c r="A50" s="10" t="s">
        <v>36</v>
      </c>
      <c r="B50" s="10" t="s">
        <v>58</v>
      </c>
    </row>
    <row r="51" customFormat="false" ht="15" hidden="false" customHeight="false" outlineLevel="0" collapsed="false">
      <c r="A51" s="10" t="s">
        <v>37</v>
      </c>
      <c r="B51" s="10" t="s">
        <v>59</v>
      </c>
    </row>
    <row r="52" customFormat="false" ht="15" hidden="false" customHeight="false" outlineLevel="0" collapsed="false">
      <c r="A52" s="10" t="s">
        <v>38</v>
      </c>
      <c r="B52" s="10" t="s">
        <v>60</v>
      </c>
    </row>
    <row r="54" customFormat="false" ht="15" hidden="false" customHeight="false" outlineLevel="0" collapsed="false">
      <c r="A54" s="8" t="s">
        <v>61</v>
      </c>
      <c r="C54" s="9" t="s">
        <v>62</v>
      </c>
      <c r="D54" s="9"/>
      <c r="E54" s="9"/>
      <c r="F54" s="9"/>
      <c r="G54" s="9"/>
      <c r="H54" s="9"/>
      <c r="I54" s="9"/>
      <c r="J54" s="9"/>
      <c r="K54" s="9"/>
      <c r="L54" s="9"/>
      <c r="M54" s="9"/>
    </row>
    <row r="55" customFormat="false" ht="15" hidden="false" customHeight="false" outlineLevel="0" collapsed="false">
      <c r="A55" s="8" t="s">
        <v>63</v>
      </c>
      <c r="G55" s="10" t="s">
        <v>64</v>
      </c>
    </row>
    <row r="56" customFormat="false" ht="15" hidden="false" customHeight="false" outlineLevel="0" collapsed="false">
      <c r="A56" s="8" t="s">
        <v>65</v>
      </c>
      <c r="G56" s="10" t="s">
        <v>66</v>
      </c>
    </row>
    <row r="57" customFormat="false" ht="15" hidden="false" customHeight="false" outlineLevel="0" collapsed="false">
      <c r="A57" s="8" t="s">
        <v>67</v>
      </c>
      <c r="G57" s="10" t="s">
        <v>68</v>
      </c>
    </row>
    <row r="58" customFormat="false" ht="15" hidden="false" customHeight="false" outlineLevel="0" collapsed="false">
      <c r="A58" s="8" t="s">
        <v>69</v>
      </c>
      <c r="G58" s="10" t="s">
        <v>70</v>
      </c>
    </row>
    <row r="59" customFormat="false" ht="15" hidden="false" customHeight="false" outlineLevel="0" collapsed="false">
      <c r="A59" s="8" t="s">
        <v>71</v>
      </c>
      <c r="G59" s="10" t="s">
        <v>72</v>
      </c>
    </row>
    <row r="60" customFormat="false" ht="15" hidden="false" customHeight="false" outlineLevel="0" collapsed="false">
      <c r="A60" s="8" t="s">
        <v>73</v>
      </c>
      <c r="G60" s="10" t="s">
        <v>74</v>
      </c>
    </row>
  </sheetData>
  <mergeCells count="20">
    <mergeCell ref="A1:M1"/>
    <mergeCell ref="A2:M2"/>
    <mergeCell ref="A3:M3"/>
    <mergeCell ref="A4:M4"/>
    <mergeCell ref="J6:M6"/>
    <mergeCell ref="O6:Q6"/>
    <mergeCell ref="J7:M7"/>
    <mergeCell ref="O7:Q7"/>
    <mergeCell ref="J8:M8"/>
    <mergeCell ref="O8:P8"/>
    <mergeCell ref="J9:M9"/>
    <mergeCell ref="O9:P9"/>
    <mergeCell ref="J10:M10"/>
    <mergeCell ref="O10:P10"/>
    <mergeCell ref="O11:P11"/>
    <mergeCell ref="C12:M12"/>
    <mergeCell ref="C42:M42"/>
    <mergeCell ref="C43:M43"/>
    <mergeCell ref="C44:M44"/>
    <mergeCell ref="C54:M54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10" min="10" style="0" width="20"/>
    <col collapsed="false" customWidth="true" hidden="false" outlineLevel="0" max="15" min="15" style="0" width="24"/>
    <col collapsed="false" customWidth="true" hidden="false" outlineLevel="0" max="17" min="17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1" t="s">
        <v>75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true" outlineLevel="0" collapsed="false">
      <c r="A4" s="3" t="s">
        <v>76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6" customFormat="false" ht="15" hidden="false" customHeight="false" outlineLevel="0" collapsed="false">
      <c r="J6" s="1" t="s">
        <v>4</v>
      </c>
      <c r="K6" s="1"/>
      <c r="L6" s="1"/>
      <c r="M6" s="1"/>
      <c r="O6" s="1" t="s">
        <v>5</v>
      </c>
      <c r="P6" s="1"/>
      <c r="Q6" s="1"/>
    </row>
    <row r="7" customFormat="false" ht="23.85" hidden="false" customHeight="true" outlineLevel="0" collapsed="false">
      <c r="J7" s="4" t="s">
        <v>6</v>
      </c>
      <c r="K7" s="4"/>
      <c r="L7" s="4"/>
      <c r="M7" s="4"/>
      <c r="O7" s="5" t="s">
        <v>7</v>
      </c>
      <c r="P7" s="5"/>
      <c r="Q7" s="5"/>
    </row>
    <row r="8" customFormat="false" ht="23.85" hidden="false" customHeight="true" outlineLevel="0" collapsed="false">
      <c r="J8" s="4" t="s">
        <v>8</v>
      </c>
      <c r="K8" s="4"/>
      <c r="L8" s="4"/>
      <c r="M8" s="4"/>
      <c r="O8" s="6" t="s">
        <v>9</v>
      </c>
      <c r="P8" s="6"/>
      <c r="Q8" s="7" t="n">
        <v>388.35</v>
      </c>
    </row>
    <row r="9" customFormat="false" ht="23.85" hidden="false" customHeight="true" outlineLevel="0" collapsed="false">
      <c r="A9" s="8" t="s">
        <v>10</v>
      </c>
      <c r="J9" s="4" t="s">
        <v>11</v>
      </c>
      <c r="K9" s="4"/>
      <c r="L9" s="4"/>
      <c r="M9" s="4"/>
      <c r="O9" s="6" t="s">
        <v>12</v>
      </c>
      <c r="P9" s="6"/>
      <c r="Q9" s="7" t="n">
        <v>18177.369</v>
      </c>
    </row>
    <row r="10" customFormat="false" ht="23.85" hidden="false" customHeight="true" outlineLevel="0" collapsed="false">
      <c r="A10" s="8" t="s">
        <v>13</v>
      </c>
      <c r="J10" s="4" t="s">
        <v>14</v>
      </c>
      <c r="K10" s="4"/>
      <c r="L10" s="4"/>
      <c r="M10" s="4"/>
      <c r="O10" s="6" t="s">
        <v>15</v>
      </c>
      <c r="P10" s="6"/>
      <c r="Q10" s="7" t="n">
        <v>129838.35</v>
      </c>
    </row>
    <row r="11" customFormat="false" ht="15" hidden="false" customHeight="false" outlineLevel="0" collapsed="false">
      <c r="O11" s="6" t="s">
        <v>16</v>
      </c>
      <c r="P11" s="6"/>
      <c r="Q11" s="7" t="n">
        <v>151165.719</v>
      </c>
    </row>
    <row r="12" customFormat="false" ht="15" hidden="false" customHeight="false" outlineLevel="0" collapsed="false">
      <c r="A12" s="8" t="s">
        <v>17</v>
      </c>
      <c r="C12" s="9" t="s">
        <v>18</v>
      </c>
      <c r="D12" s="9"/>
      <c r="E12" s="9"/>
      <c r="F12" s="9"/>
      <c r="G12" s="9"/>
      <c r="H12" s="9"/>
      <c r="I12" s="9"/>
      <c r="J12" s="9"/>
      <c r="K12" s="9"/>
      <c r="L12" s="9"/>
      <c r="M12" s="9"/>
    </row>
    <row r="13" customFormat="false" ht="15" hidden="false" customHeight="false" outlineLevel="0" collapsed="false">
      <c r="A13" s="8" t="s">
        <v>19</v>
      </c>
      <c r="B13" s="8" t="s">
        <v>20</v>
      </c>
      <c r="C13" s="8" t="s">
        <v>21</v>
      </c>
    </row>
    <row r="14" customFormat="false" ht="15" hidden="false" customHeight="false" outlineLevel="0" collapsed="false">
      <c r="A14" s="10" t="s">
        <v>22</v>
      </c>
      <c r="B14" s="10" t="n">
        <v>120000</v>
      </c>
    </row>
    <row r="15" customFormat="false" ht="15" hidden="false" customHeight="false" outlineLevel="0" collapsed="false">
      <c r="A15" s="10" t="s">
        <v>23</v>
      </c>
      <c r="B15" s="10" t="n">
        <v>1800</v>
      </c>
    </row>
    <row r="16" customFormat="false" ht="15" hidden="false" customHeight="false" outlineLevel="0" collapsed="false">
      <c r="A16" s="10" t="s">
        <v>24</v>
      </c>
      <c r="B16" s="10" t="n">
        <v>2200</v>
      </c>
    </row>
    <row r="17" customFormat="false" ht="15" hidden="false" customHeight="false" outlineLevel="0" collapsed="false">
      <c r="A17" s="10" t="s">
        <v>25</v>
      </c>
      <c r="B17" s="10" t="n">
        <v>350</v>
      </c>
    </row>
    <row r="18" customFormat="false" ht="15" hidden="false" customHeight="false" outlineLevel="0" collapsed="false">
      <c r="A18" s="10" t="s">
        <v>26</v>
      </c>
      <c r="B18" s="10" t="n">
        <v>600</v>
      </c>
    </row>
    <row r="19" customFormat="false" ht="15" hidden="false" customHeight="false" outlineLevel="0" collapsed="false">
      <c r="A19" s="10" t="s">
        <v>27</v>
      </c>
      <c r="B19" s="10" t="n">
        <v>4500</v>
      </c>
    </row>
    <row r="20" customFormat="false" ht="15" hidden="false" customHeight="false" outlineLevel="0" collapsed="false">
      <c r="A20" s="10" t="s">
        <v>9</v>
      </c>
      <c r="B20" s="11" t="n">
        <f aca="false">0.003*(B14+B15+B16+B17+B18+B19)</f>
        <v>388.35</v>
      </c>
      <c r="C20" s="10" t="s">
        <v>28</v>
      </c>
    </row>
    <row r="21" customFormat="false" ht="15" hidden="false" customHeight="false" outlineLevel="0" collapsed="false">
      <c r="A21" s="10" t="s">
        <v>29</v>
      </c>
      <c r="B21" s="10" t="n">
        <v>800</v>
      </c>
    </row>
    <row r="22" customFormat="false" ht="15" hidden="false" customHeight="false" outlineLevel="0" collapsed="false">
      <c r="A22" s="10" t="s">
        <v>12</v>
      </c>
      <c r="B22" s="11" t="n">
        <f aca="false">0.14*(B14+B15+B16+B17+B18+B19+B20)</f>
        <v>18177.369</v>
      </c>
      <c r="C22" s="10" t="s">
        <v>28</v>
      </c>
    </row>
    <row r="23" customFormat="false" ht="15" hidden="false" customHeight="false" outlineLevel="0" collapsed="false">
      <c r="A23" s="10" t="s">
        <v>30</v>
      </c>
      <c r="B23" s="10" t="n">
        <v>450</v>
      </c>
    </row>
    <row r="24" customFormat="false" ht="15" hidden="false" customHeight="false" outlineLevel="0" collapsed="false">
      <c r="A24" s="10" t="s">
        <v>31</v>
      </c>
      <c r="B24" s="10" t="n">
        <v>1500</v>
      </c>
    </row>
    <row r="25" customFormat="false" ht="15" hidden="false" customHeight="false" outlineLevel="0" collapsed="false">
      <c r="A25" s="10" t="s">
        <v>32</v>
      </c>
      <c r="B25" s="10" t="n">
        <v>400</v>
      </c>
    </row>
    <row r="27" customFormat="false" ht="15" hidden="false" customHeight="false" outlineLevel="0" collapsed="false">
      <c r="A27" s="8" t="s">
        <v>33</v>
      </c>
    </row>
    <row r="28" customFormat="false" ht="15" hidden="false" customHeight="false" outlineLevel="0" collapsed="false">
      <c r="A28" s="8" t="s">
        <v>19</v>
      </c>
      <c r="B28" s="8" t="s">
        <v>34</v>
      </c>
      <c r="C28" s="8" t="s">
        <v>35</v>
      </c>
      <c r="D28" s="8" t="s">
        <v>36</v>
      </c>
      <c r="E28" s="8" t="s">
        <v>37</v>
      </c>
      <c r="F28" s="8" t="s">
        <v>38</v>
      </c>
      <c r="G28" s="8" t="s">
        <v>39</v>
      </c>
    </row>
    <row r="29" customFormat="false" ht="15" hidden="false" customHeight="false" outlineLevel="0" collapsed="false">
      <c r="A29" s="10" t="s">
        <v>40</v>
      </c>
      <c r="B29" s="10" t="s">
        <v>41</v>
      </c>
      <c r="C29" s="10" t="s">
        <v>41</v>
      </c>
      <c r="D29" s="10" t="s">
        <v>41</v>
      </c>
      <c r="E29" s="10" t="s">
        <v>41</v>
      </c>
      <c r="F29" s="10" t="s">
        <v>41</v>
      </c>
    </row>
    <row r="30" customFormat="false" ht="15" hidden="false" customHeight="false" outlineLevel="0" collapsed="false">
      <c r="A30" s="10" t="s">
        <v>23</v>
      </c>
      <c r="B30" s="10" t="s">
        <v>42</v>
      </c>
      <c r="C30" s="10" t="s">
        <v>41</v>
      </c>
      <c r="D30" s="10" t="s">
        <v>41</v>
      </c>
      <c r="E30" s="10" t="s">
        <v>41</v>
      </c>
      <c r="F30" s="10" t="s">
        <v>41</v>
      </c>
    </row>
    <row r="31" customFormat="false" ht="15" hidden="false" customHeight="false" outlineLevel="0" collapsed="false">
      <c r="A31" s="10" t="s">
        <v>43</v>
      </c>
      <c r="B31" s="10" t="s">
        <v>42</v>
      </c>
      <c r="C31" s="10" t="s">
        <v>41</v>
      </c>
      <c r="D31" s="10" t="s">
        <v>41</v>
      </c>
      <c r="E31" s="10" t="s">
        <v>41</v>
      </c>
      <c r="F31" s="10" t="s">
        <v>41</v>
      </c>
    </row>
    <row r="32" customFormat="false" ht="15" hidden="false" customHeight="false" outlineLevel="0" collapsed="false">
      <c r="A32" s="10" t="s">
        <v>44</v>
      </c>
      <c r="B32" s="10" t="s">
        <v>42</v>
      </c>
      <c r="C32" s="10" t="s">
        <v>41</v>
      </c>
      <c r="D32" s="10" t="s">
        <v>41</v>
      </c>
      <c r="E32" s="10" t="s">
        <v>41</v>
      </c>
      <c r="F32" s="10" t="s">
        <v>41</v>
      </c>
    </row>
    <row r="33" customFormat="false" ht="15" hidden="false" customHeight="false" outlineLevel="0" collapsed="false">
      <c r="A33" s="10" t="s">
        <v>26</v>
      </c>
      <c r="B33" s="10" t="s">
        <v>42</v>
      </c>
      <c r="C33" s="10" t="s">
        <v>41</v>
      </c>
      <c r="D33" s="10" t="s">
        <v>41</v>
      </c>
      <c r="E33" s="10" t="s">
        <v>41</v>
      </c>
      <c r="F33" s="10" t="s">
        <v>41</v>
      </c>
    </row>
    <row r="34" customFormat="false" ht="15" hidden="false" customHeight="false" outlineLevel="0" collapsed="false">
      <c r="A34" s="10" t="s">
        <v>45</v>
      </c>
      <c r="B34" s="10" t="s">
        <v>42</v>
      </c>
      <c r="C34" s="10" t="s">
        <v>42</v>
      </c>
      <c r="D34" s="10" t="s">
        <v>41</v>
      </c>
      <c r="E34" s="10" t="s">
        <v>41</v>
      </c>
      <c r="F34" s="10" t="s">
        <v>41</v>
      </c>
    </row>
    <row r="35" customFormat="false" ht="15" hidden="false" customHeight="false" outlineLevel="0" collapsed="false">
      <c r="A35" s="10" t="s">
        <v>46</v>
      </c>
      <c r="B35" s="10" t="s">
        <v>42</v>
      </c>
      <c r="C35" s="10" t="s">
        <v>42</v>
      </c>
      <c r="D35" s="10" t="s">
        <v>41</v>
      </c>
      <c r="E35" s="10" t="s">
        <v>41</v>
      </c>
      <c r="F35" s="10" t="s">
        <v>41</v>
      </c>
    </row>
    <row r="36" customFormat="false" ht="15" hidden="false" customHeight="false" outlineLevel="0" collapsed="false">
      <c r="A36" s="10" t="s">
        <v>47</v>
      </c>
      <c r="B36" s="10" t="s">
        <v>42</v>
      </c>
      <c r="C36" s="10" t="s">
        <v>42</v>
      </c>
      <c r="D36" s="10" t="s">
        <v>42</v>
      </c>
      <c r="E36" s="10" t="s">
        <v>41</v>
      </c>
      <c r="F36" s="10" t="s">
        <v>41</v>
      </c>
    </row>
    <row r="37" customFormat="false" ht="15" hidden="false" customHeight="false" outlineLevel="0" collapsed="false">
      <c r="A37" s="10" t="s">
        <v>48</v>
      </c>
      <c r="B37" s="10" t="s">
        <v>42</v>
      </c>
      <c r="C37" s="10" t="s">
        <v>42</v>
      </c>
      <c r="D37" s="10" t="s">
        <v>42</v>
      </c>
      <c r="E37" s="10" t="s">
        <v>42</v>
      </c>
      <c r="F37" s="10" t="s">
        <v>41</v>
      </c>
    </row>
    <row r="38" customFormat="false" ht="15" hidden="false" customHeight="false" outlineLevel="0" collapsed="false">
      <c r="A38" s="10" t="s">
        <v>49</v>
      </c>
      <c r="B38" s="10" t="s">
        <v>42</v>
      </c>
      <c r="C38" s="10" t="s">
        <v>42</v>
      </c>
      <c r="D38" s="10" t="s">
        <v>42</v>
      </c>
      <c r="E38" s="10" t="s">
        <v>42</v>
      </c>
      <c r="F38" s="10" t="s">
        <v>41</v>
      </c>
    </row>
    <row r="39" customFormat="false" ht="15" hidden="false" customHeight="false" outlineLevel="0" collapsed="false">
      <c r="A39" s="10" t="s">
        <v>50</v>
      </c>
      <c r="B39" s="10" t="s">
        <v>42</v>
      </c>
      <c r="C39" s="10" t="s">
        <v>42</v>
      </c>
      <c r="D39" s="10" t="s">
        <v>42</v>
      </c>
      <c r="E39" s="10" t="s">
        <v>41</v>
      </c>
      <c r="F39" s="10" t="s">
        <v>41</v>
      </c>
    </row>
    <row r="40" customFormat="false" ht="15" hidden="false" customHeight="false" outlineLevel="0" collapsed="false">
      <c r="A40" s="10" t="s">
        <v>51</v>
      </c>
      <c r="B40" s="10" t="s">
        <v>42</v>
      </c>
      <c r="C40" s="10" t="s">
        <v>42</v>
      </c>
      <c r="D40" s="10" t="s">
        <v>42</v>
      </c>
      <c r="E40" s="10" t="s">
        <v>42</v>
      </c>
      <c r="F40" s="10" t="s">
        <v>41</v>
      </c>
    </row>
    <row r="42" customFormat="false" ht="15" hidden="false" customHeight="false" outlineLevel="0" collapsed="false">
      <c r="A42" s="8" t="s">
        <v>15</v>
      </c>
      <c r="B42" s="11" t="n">
        <f aca="false">SUM(B14:B20)</f>
        <v>129838.35</v>
      </c>
      <c r="C42" s="9" t="s">
        <v>18</v>
      </c>
      <c r="D42" s="9"/>
      <c r="E42" s="9"/>
      <c r="F42" s="9"/>
      <c r="G42" s="9"/>
      <c r="H42" s="9"/>
      <c r="I42" s="9"/>
      <c r="J42" s="9"/>
      <c r="K42" s="9"/>
      <c r="L42" s="9"/>
      <c r="M42" s="9"/>
    </row>
    <row r="43" customFormat="false" ht="15" hidden="false" customHeight="false" outlineLevel="0" collapsed="false">
      <c r="A43" s="8" t="s">
        <v>52</v>
      </c>
      <c r="C43" s="9" t="s">
        <v>18</v>
      </c>
      <c r="D43" s="9"/>
      <c r="E43" s="9"/>
      <c r="F43" s="9"/>
      <c r="G43" s="9"/>
      <c r="H43" s="9"/>
      <c r="I43" s="9"/>
      <c r="J43" s="9"/>
      <c r="K43" s="9"/>
      <c r="L43" s="9"/>
      <c r="M43" s="9"/>
    </row>
    <row r="44" customFormat="false" ht="15" hidden="false" customHeight="false" outlineLevel="0" collapsed="false">
      <c r="A44" s="8" t="s">
        <v>16</v>
      </c>
      <c r="B44" s="11" t="n">
        <f aca="false">SUM(B14:B25)</f>
        <v>151165.719</v>
      </c>
      <c r="C44" s="9" t="s">
        <v>18</v>
      </c>
      <c r="D44" s="9"/>
      <c r="E44" s="9"/>
      <c r="F44" s="9"/>
      <c r="G44" s="9"/>
      <c r="H44" s="9"/>
      <c r="I44" s="9"/>
      <c r="J44" s="9"/>
      <c r="K44" s="9"/>
      <c r="L44" s="9"/>
      <c r="M44" s="9"/>
    </row>
    <row r="46" customFormat="false" ht="15" hidden="false" customHeight="false" outlineLevel="0" collapsed="false">
      <c r="A46" s="8" t="s">
        <v>53</v>
      </c>
    </row>
    <row r="47" customFormat="false" ht="15" hidden="false" customHeight="false" outlineLevel="0" collapsed="false">
      <c r="A47" s="8" t="s">
        <v>54</v>
      </c>
      <c r="B47" s="8" t="s">
        <v>55</v>
      </c>
    </row>
    <row r="48" customFormat="false" ht="15" hidden="false" customHeight="false" outlineLevel="0" collapsed="false">
      <c r="A48" s="10" t="s">
        <v>34</v>
      </c>
      <c r="B48" s="10" t="s">
        <v>56</v>
      </c>
    </row>
    <row r="49" customFormat="false" ht="15" hidden="false" customHeight="false" outlineLevel="0" collapsed="false">
      <c r="A49" s="10" t="s">
        <v>35</v>
      </c>
      <c r="B49" s="10" t="s">
        <v>57</v>
      </c>
    </row>
    <row r="50" customFormat="false" ht="15" hidden="false" customHeight="false" outlineLevel="0" collapsed="false">
      <c r="A50" s="10" t="s">
        <v>36</v>
      </c>
      <c r="B50" s="10" t="s">
        <v>58</v>
      </c>
    </row>
    <row r="51" customFormat="false" ht="15" hidden="false" customHeight="false" outlineLevel="0" collapsed="false">
      <c r="A51" s="10" t="s">
        <v>37</v>
      </c>
      <c r="B51" s="10" t="s">
        <v>59</v>
      </c>
    </row>
    <row r="52" customFormat="false" ht="15" hidden="false" customHeight="false" outlineLevel="0" collapsed="false">
      <c r="A52" s="10" t="s">
        <v>38</v>
      </c>
      <c r="B52" s="10" t="s">
        <v>60</v>
      </c>
    </row>
    <row r="54" customFormat="false" ht="15" hidden="false" customHeight="false" outlineLevel="0" collapsed="false">
      <c r="A54" s="8" t="s">
        <v>61</v>
      </c>
      <c r="C54" s="9" t="s">
        <v>62</v>
      </c>
      <c r="D54" s="9"/>
      <c r="E54" s="9"/>
      <c r="F54" s="9"/>
      <c r="G54" s="9"/>
      <c r="H54" s="9"/>
      <c r="I54" s="9"/>
      <c r="J54" s="9"/>
      <c r="K54" s="9"/>
      <c r="L54" s="9"/>
      <c r="M54" s="9"/>
    </row>
    <row r="55" customFormat="false" ht="15" hidden="false" customHeight="false" outlineLevel="0" collapsed="false">
      <c r="A55" s="8" t="s">
        <v>63</v>
      </c>
      <c r="G55" s="10" t="s">
        <v>64</v>
      </c>
    </row>
    <row r="56" customFormat="false" ht="15" hidden="false" customHeight="false" outlineLevel="0" collapsed="false">
      <c r="A56" s="8" t="s">
        <v>65</v>
      </c>
      <c r="G56" s="10" t="s">
        <v>66</v>
      </c>
    </row>
    <row r="57" customFormat="false" ht="15" hidden="false" customHeight="false" outlineLevel="0" collapsed="false">
      <c r="A57" s="8" t="s">
        <v>67</v>
      </c>
      <c r="G57" s="10" t="s">
        <v>68</v>
      </c>
    </row>
    <row r="58" customFormat="false" ht="15" hidden="false" customHeight="false" outlineLevel="0" collapsed="false">
      <c r="A58" s="8" t="s">
        <v>69</v>
      </c>
      <c r="G58" s="10" t="s">
        <v>70</v>
      </c>
    </row>
    <row r="59" customFormat="false" ht="15" hidden="false" customHeight="false" outlineLevel="0" collapsed="false">
      <c r="A59" s="8" t="s">
        <v>71</v>
      </c>
      <c r="G59" s="10" t="s">
        <v>72</v>
      </c>
    </row>
    <row r="60" customFormat="false" ht="15" hidden="false" customHeight="false" outlineLevel="0" collapsed="false">
      <c r="A60" s="8" t="s">
        <v>73</v>
      </c>
      <c r="G60" s="10" t="s">
        <v>74</v>
      </c>
    </row>
  </sheetData>
  <mergeCells count="20">
    <mergeCell ref="A1:M1"/>
    <mergeCell ref="A2:M2"/>
    <mergeCell ref="A3:M3"/>
    <mergeCell ref="A4:M4"/>
    <mergeCell ref="J6:M6"/>
    <mergeCell ref="O6:Q6"/>
    <mergeCell ref="J7:M7"/>
    <mergeCell ref="O7:Q7"/>
    <mergeCell ref="J8:M8"/>
    <mergeCell ref="O8:P8"/>
    <mergeCell ref="J9:M9"/>
    <mergeCell ref="O9:P9"/>
    <mergeCell ref="J10:M10"/>
    <mergeCell ref="O10:P10"/>
    <mergeCell ref="O11:P11"/>
    <mergeCell ref="C12:M12"/>
    <mergeCell ref="C42:M42"/>
    <mergeCell ref="C43:M43"/>
    <mergeCell ref="C44:M44"/>
    <mergeCell ref="C54:M54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2026-07-08T19:17:39Z</dcterms:created>
  <dc:creator>openpyxl</dc:creator>
  <dc:description/>
  <dc:language>en-US</dc:language>
  <cp:lastModifiedBy/>
  <dcterms:modified xsi:type="dcterms:W3CDTF">2026-07-08T19:17:39Z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