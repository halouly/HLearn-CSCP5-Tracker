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26 - Reverse Logistics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<sst xmlns="http://schemas.openxmlformats.org/spreadsheetml/2006/main" count="150" uniqueCount="73">
  <si>
    <t xml:space="preserve">CASE 26: REVERSE LOGISTICS COST-BENEFIT &amp; WASTE HIERARCHY</t>
  </si>
  <si>
    <t xml:space="preserve">Calculation Worksheet</t>
  </si>
  <si>
    <t xml:space="preserve">SCENARIO: A consumer electronics manufacturer receives 15,000 product returns per year.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</si>
  <si>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</si>
  <si>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</si>
  <si>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</si>
  <si>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Choose product disposition using the waste hierarchy.</t>
  </si>
  <si>
    <t xml:space="preserve">Self-check targets.</t>
  </si>
  <si>
    <t xml:space="preserve">Your task: Evaluate the five disposition options by recovered net value.</t>
  </si>
  <si>
    <t xml:space="preserve">Cost per Return (Net / 15,000)</t>
  </si>
  <si>
    <t xml:space="preserve">Design a reverse logistics strategy using the waste hierarchy and calculate net cost/benefit.</t>
  </si>
  <si>
    <t xml:space="preserve">Approach: Prefer reduce &gt; reuse &gt; recycle &gt; recover &gt; dispose; weigh recovery value vs processing cost.</t>
  </si>
  <si>
    <t xml:space="preserve">New annual returns</t>
  </si>
  <si>
    <t xml:space="preserve">Average product original sale price: $200. Average return shipping cost: $12/unit.</t>
  </si>
  <si>
    <t xml:space="preserve">Time: ~25 min   •   Fill the shaded input cells, then check the ANSWER KEY sheet only after you finish.</t>
  </si>
  <si>
    <t xml:space="preserve">Savings from return reduction</t>
  </si>
  <si>
    <t xml:space="preserve">Environmental benefit (tons diverted from landfill)</t>
  </si>
  <si>
    <t xml:space="preserve">RETURN DISPOSITION DATA</t>
  </si>
  <si>
    <t xml:space="preserve">Given values (blue) — do not change.</t>
  </si>
  <si>
    <t xml:space="preserve">Disposition Category</t>
  </si>
  <si>
    <t xml:space="preserve">% of Returns</t>
  </si>
  <si>
    <t xml:space="preserve">Units</t>
  </si>
  <si>
    <t xml:space="preserve">Processing Cost/Unit</t>
  </si>
  <si>
    <t xml:space="preserve">Recovery Value/Unit</t>
  </si>
  <si>
    <t xml:space="preserve">Net Value/Unit</t>
  </si>
  <si>
    <t xml:space="preserve">A. Restock as-is (unopened/like-new)</t>
  </si>
  <si>
    <t xml:space="preserve">B. Refurbish &amp; resell (minor defect)</t>
  </si>
  <si>
    <t xml:space="preserve">C. Harvest components (major defect)</t>
  </si>
  <si>
    <t xml:space="preserve">D. Recycle materials</t>
  </si>
  <si>
    <t xml:space="preserve">E. Landfill disposal</t>
  </si>
  <si>
    <t xml:space="preserve">TOTALS</t>
  </si>
  <si>
    <t xml:space="preserve">WASTE HIERARCHY ALIGNMENT</t>
  </si>
  <si>
    <t xml:space="preserve">Waste Hierarchy Level (Most → Least Preferred)</t>
  </si>
  <si>
    <t xml:space="preserve">Disposition</t>
  </si>
  <si>
    <t xml:space="preserve">% Applied</t>
  </si>
  <si>
    <t xml:space="preserve">1. REDUCE (prevent returns)</t>
  </si>
  <si>
    <t xml:space="preserve">—</t>
  </si>
  <si>
    <t xml:space="preserve">See Q5</t>
  </si>
  <si>
    <t xml:space="preserve">2. REUSE (restock / refurbish)</t>
  </si>
  <si>
    <t xml:space="preserve">A + B</t>
  </si>
  <si>
    <t xml:space="preserve">3. RECYCLE (harvest + recycle)</t>
  </si>
  <si>
    <t xml:space="preserve">C + D</t>
  </si>
  <si>
    <t xml:space="preserve">4. RECOVER (energy recovery)</t>
  </si>
  <si>
    <t xml:space="preserve">Not applied</t>
  </si>
  <si>
    <t xml:space="preserve">5. DISPOSE (landfill)</t>
  </si>
  <si>
    <t xml:space="preserve">E</t>
  </si>
  <si>
    <t xml:space="preserve">COST-BENEFIT ANALYSIS (ANNUAL)</t>
  </si>
  <si>
    <t xml:space="preserve">Evaluate each row; fill the green cells.</t>
  </si>
  <si>
    <t xml:space="preserve">Revenue Line</t>
  </si>
  <si>
    <t xml:space="preserve">Amount ($)</t>
  </si>
  <si>
    <t xml:space="preserve">Total Return Shipping Cost (15,000 × $12)</t>
  </si>
  <si>
    <t xml:space="preserve">Total Processing Cost</t>
  </si>
  <si>
    <t xml:space="preserve">Total Recovery Revenue</t>
  </si>
  <si>
    <t xml:space="preserve">NET REVERSE LOGISTICS RESULT</t>
  </si>
  <si>
    <t xml:space="preserve">IMPROVEMENT SCENARIO</t>
  </si>
  <si>
    <t xml:space="preserve">If returns reduced by 20% through better QC and packaging:</t>
  </si>
  <si>
    <t xml:space="preserve">If landfill reduced to 3% (shifted to recycle):</t>
  </si>
  <si>
    <t xml:space="preserve">EXAM-STYLE QUESTIONS:</t>
  </si>
  <si>
    <t xml:space="preserve">Answer using the results you computed above.</t>
  </si>
  <si>
    <t xml:space="preserve">Q1: What is the total annual net cost or benefit of the reverse logistics program?</t>
  </si>
  <si>
    <t xml:space="preserve">Net BENEFIT ≈ $888,000/yr (recovery $1.353M − processing $285K − shipping $180K)</t>
  </si>
  <si>
    <t xml:space="preserve">Q2: Which disposition category generates the highest total recovery value?</t>
  </si>
  <si>
    <t xml:space="preserve">A (Restock): 3,750 × $172 net = highest total and per-unit value</t>
  </si>
  <si>
    <t xml:space="preserve">Q3: Rank the five disposition categories by the waste hierarchy (most to least preferred).</t>
  </si>
  <si>
    <t xml:space="preserve">A &gt; B &gt; C &gt; D &gt; E (Reuse &gt; Recycle &gt; Dispose) — matches waste hierarchy</t>
  </si>
  <si>
    <t xml:space="preserve">Q4: If refurbish processing cost drops to $20/unit, what is the new net result?</t>
  </si>
  <si>
    <t xml:space="preserve">Refurbish at $20 (−$15/unit): +4,500 × $15 = +$67.5K net</t>
  </si>
  <si>
    <t xml:space="preserve">Q5: Name 3 strategies to REDUCE returns (top of waste hierarchy) before they occur.</t>
  </si>
  <si>
    <t xml:space="preserve">1) QC/test before ship  2) Better packaging  3) Clearer product info/instructions</t>
  </si>
  <si>
    <t xml:space="preserve">Q6: A 3PL offers to handle all reverse logistics for $18/return. Should the company accept?</t>
  </si>
  <si>
    <t xml:space="preserve">Internal net cost/return ≈ ($180K+$285K)/15,000 = $31 &lt; $18? No → keep in-house (3PL $18 only covers, but recovery lost); compare recovery value retained</t>
  </si>
  <si>
    <t xml:space="preserve">Solution Key</t>
  </si>
  <si>
    <t xml:space="preserve">SOLUTION: green cells show worked answers; blue cells are the given inputs.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</si>
</sst>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7" min="7" style="0" width="18"/>
    <col collapsed="false" customWidth="true" hidden="false" outlineLevel="0" max="10" min="10" style="0" width="20"/>
    <col collapsed="false" customWidth="true" hidden="false" outlineLevel="0" max="15" min="15" style="0" width="24"/>
    <col collapsed="false" customWidth="true" hidden="false" outlineLevel="0" max="17" min="17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15" hidden="false" customHeight="false" outlineLevel="0" collapsed="false">
      <c r="J6" s="1" t="s">
        <v>4</v>
      </c>
      <c r="K6" s="1"/>
      <c r="L6" s="1"/>
      <c r="M6" s="1"/>
      <c r="O6" s="1" t="s">
        <v>5</v>
      </c>
      <c r="P6" s="1"/>
      <c r="Q6" s="1"/>
    </row>
    <row r="7" customFormat="false" ht="23.85" hidden="false" customHeight="true" outlineLevel="0" collapsed="false">
      <c r="J7" s="4" t="s">
        <v>6</v>
      </c>
      <c r="K7" s="4"/>
      <c r="L7" s="4"/>
      <c r="M7" s="4"/>
      <c r="O7" s="5" t="s">
        <v>7</v>
      </c>
      <c r="P7" s="5"/>
      <c r="Q7" s="5"/>
    </row>
    <row r="8" customFormat="false" ht="23.85" hidden="false" customHeight="true" outlineLevel="0" collapsed="false">
      <c r="J8" s="4" t="s">
        <v>8</v>
      </c>
      <c r="K8" s="4"/>
      <c r="L8" s="4"/>
      <c r="M8" s="4"/>
      <c r="O8" s="6" t="s">
        <v>9</v>
      </c>
      <c r="P8" s="6"/>
      <c r="Q8" s="7" t="n">
        <v>59.2</v>
      </c>
    </row>
    <row r="9" customFormat="false" ht="23.85" hidden="false" customHeight="true" outlineLevel="0" collapsed="false">
      <c r="A9" s="8" t="s">
        <v>10</v>
      </c>
      <c r="J9" s="4" t="s">
        <v>11</v>
      </c>
      <c r="K9" s="4"/>
      <c r="L9" s="4"/>
      <c r="M9" s="4"/>
      <c r="O9" s="6" t="s">
        <v>12</v>
      </c>
      <c r="P9" s="6"/>
      <c r="Q9" s="9" t="n">
        <v>12000</v>
      </c>
    </row>
    <row r="10" customFormat="false" ht="23.85" hidden="false" customHeight="true" outlineLevel="0" collapsed="false">
      <c r="A10" s="8" t="s">
        <v>13</v>
      </c>
      <c r="J10" s="4" t="s">
        <v>14</v>
      </c>
      <c r="K10" s="4"/>
      <c r="L10" s="4"/>
      <c r="M10" s="4"/>
      <c r="O10" s="6" t="s">
        <v>15</v>
      </c>
      <c r="P10" s="6"/>
      <c r="Q10" s="9" t="n">
        <v>93000</v>
      </c>
    </row>
    <row r="11" customFormat="false" ht="15" hidden="false" customHeight="false" outlineLevel="0" collapsed="false">
      <c r="O11" s="6" t="s">
        <v>16</v>
      </c>
      <c r="P11" s="6"/>
      <c r="Q11" s="9" t="n">
        <v>1050</v>
      </c>
    </row>
    <row r="12" customFormat="false" ht="15" hidden="false" customHeight="false" outlineLevel="0" collapsed="false">
      <c r="A12" s="8" t="s">
        <v>17</v>
      </c>
      <c r="C12" s="10" t="s">
        <v>18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customFormat="false" ht="15" hidden="false" customHeight="false" outlineLevel="0" collapsed="false">
      <c r="A13" s="8" t="s">
        <v>19</v>
      </c>
      <c r="B13" s="8" t="s">
        <v>20</v>
      </c>
      <c r="C13" s="8" t="s">
        <v>21</v>
      </c>
      <c r="D13" s="8" t="s">
        <v>22</v>
      </c>
      <c r="E13" s="8" t="s">
        <v>23</v>
      </c>
      <c r="F13" s="8" t="s">
        <v>24</v>
      </c>
    </row>
    <row r="14" customFormat="false" ht="15" hidden="false" customHeight="false" outlineLevel="0" collapsed="false">
      <c r="A14" s="11" t="s">
        <v>25</v>
      </c>
      <c r="B14" s="11" t="n">
        <v>0.25</v>
      </c>
      <c r="C14" s="12"/>
      <c r="D14" s="11" t="n">
        <v>8</v>
      </c>
      <c r="E14" s="11" t="n">
        <v>180</v>
      </c>
      <c r="F14" s="12"/>
    </row>
    <row r="15" customFormat="false" ht="15" hidden="false" customHeight="false" outlineLevel="0" collapsed="false">
      <c r="A15" s="11" t="s">
        <v>26</v>
      </c>
      <c r="B15" s="11" t="n">
        <v>0.3</v>
      </c>
      <c r="C15" s="12"/>
      <c r="D15" s="11" t="n">
        <v>35</v>
      </c>
      <c r="E15" s="11" t="n">
        <v>120</v>
      </c>
      <c r="F15" s="12"/>
    </row>
    <row r="16" customFormat="false" ht="15" hidden="false" customHeight="false" outlineLevel="0" collapsed="false">
      <c r="A16" s="11" t="s">
        <v>27</v>
      </c>
      <c r="B16" s="11" t="n">
        <v>0.2</v>
      </c>
      <c r="C16" s="12"/>
      <c r="D16" s="11" t="n">
        <v>15</v>
      </c>
      <c r="E16" s="11" t="n">
        <v>40</v>
      </c>
      <c r="F16" s="12"/>
    </row>
    <row r="17" customFormat="false" ht="15" hidden="false" customHeight="false" outlineLevel="0" collapsed="false">
      <c r="A17" s="11" t="s">
        <v>28</v>
      </c>
      <c r="B17" s="11" t="n">
        <v>0.15</v>
      </c>
      <c r="C17" s="12"/>
      <c r="D17" s="11" t="n">
        <v>10</v>
      </c>
      <c r="E17" s="11" t="n">
        <v>8</v>
      </c>
      <c r="F17" s="12"/>
    </row>
    <row r="18" customFormat="false" ht="15" hidden="false" customHeight="false" outlineLevel="0" collapsed="false">
      <c r="A18" s="11" t="s">
        <v>29</v>
      </c>
      <c r="B18" s="11" t="n">
        <v>0.1</v>
      </c>
      <c r="C18" s="12"/>
      <c r="D18" s="11" t="n">
        <v>20</v>
      </c>
      <c r="E18" s="11" t="n">
        <v>0</v>
      </c>
      <c r="F18" s="12"/>
    </row>
    <row r="19" customFormat="false" ht="15" hidden="false" customHeight="false" outlineLevel="0" collapsed="false">
      <c r="A19" s="8" t="s">
        <v>30</v>
      </c>
      <c r="B19" s="11" t="n">
        <v>1</v>
      </c>
      <c r="C19" s="12"/>
    </row>
    <row r="21" customFormat="false" ht="15" hidden="false" customHeight="false" outlineLevel="0" collapsed="false">
      <c r="A21" s="8" t="s">
        <v>31</v>
      </c>
    </row>
    <row r="22" customFormat="false" ht="15" hidden="false" customHeight="false" outlineLevel="0" collapsed="false">
      <c r="A22" s="8" t="s">
        <v>32</v>
      </c>
      <c r="B22" s="8" t="s">
        <v>33</v>
      </c>
      <c r="C22" s="8" t="s">
        <v>34</v>
      </c>
    </row>
    <row r="23" customFormat="false" ht="15" hidden="false" customHeight="false" outlineLevel="0" collapsed="false">
      <c r="A23" s="11" t="s">
        <v>35</v>
      </c>
      <c r="B23" s="11" t="s">
        <v>36</v>
      </c>
      <c r="C23" s="11" t="s">
        <v>37</v>
      </c>
    </row>
    <row r="24" customFormat="false" ht="15" hidden="false" customHeight="false" outlineLevel="0" collapsed="false">
      <c r="A24" s="11" t="s">
        <v>38</v>
      </c>
      <c r="B24" s="11" t="s">
        <v>39</v>
      </c>
    </row>
    <row r="25" customFormat="false" ht="15" hidden="false" customHeight="false" outlineLevel="0" collapsed="false">
      <c r="A25" s="11" t="s">
        <v>40</v>
      </c>
      <c r="B25" s="11" t="s">
        <v>41</v>
      </c>
    </row>
    <row r="26" customFormat="false" ht="15" hidden="false" customHeight="false" outlineLevel="0" collapsed="false">
      <c r="A26" s="11" t="s">
        <v>42</v>
      </c>
      <c r="B26" s="11" t="s">
        <v>43</v>
      </c>
    </row>
    <row r="27" customFormat="false" ht="15" hidden="false" customHeight="false" outlineLevel="0" collapsed="false">
      <c r="A27" s="11" t="s">
        <v>44</v>
      </c>
      <c r="B27" s="11" t="s">
        <v>45</v>
      </c>
    </row>
    <row r="29" customFormat="false" ht="15" hidden="false" customHeight="false" outlineLevel="0" collapsed="false">
      <c r="A29" s="8" t="s">
        <v>46</v>
      </c>
      <c r="C29" s="10" t="s">
        <v>47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customFormat="false" ht="15" hidden="false" customHeight="false" outlineLevel="0" collapsed="false">
      <c r="A30" s="8" t="s">
        <v>48</v>
      </c>
      <c r="B30" s="8" t="s">
        <v>49</v>
      </c>
    </row>
    <row r="31" customFormat="false" ht="15" hidden="false" customHeight="false" outlineLevel="0" collapsed="false">
      <c r="A31" s="11" t="s">
        <v>50</v>
      </c>
      <c r="B31" s="12"/>
    </row>
    <row r="32" customFormat="false" ht="15" hidden="false" customHeight="false" outlineLevel="0" collapsed="false">
      <c r="A32" s="11" t="s">
        <v>51</v>
      </c>
      <c r="B32" s="12"/>
    </row>
    <row r="33" customFormat="false" ht="15" hidden="false" customHeight="false" outlineLevel="0" collapsed="false">
      <c r="A33" s="11" t="s">
        <v>52</v>
      </c>
      <c r="B33" s="12"/>
    </row>
    <row r="34" customFormat="false" ht="15" hidden="false" customHeight="false" outlineLevel="0" collapsed="false">
      <c r="A34" s="11" t="s">
        <v>53</v>
      </c>
      <c r="B34" s="12"/>
    </row>
    <row r="35" customFormat="false" ht="15" hidden="false" customHeight="false" outlineLevel="0" collapsed="false">
      <c r="A35" s="11" t="s">
        <v>9</v>
      </c>
      <c r="B35" s="13"/>
    </row>
    <row r="37" customFormat="false" ht="15" hidden="false" customHeight="false" outlineLevel="0" collapsed="false">
      <c r="A37" s="8" t="s">
        <v>54</v>
      </c>
    </row>
    <row r="38" customFormat="false" ht="15" hidden="false" customHeight="false" outlineLevel="0" collapsed="false">
      <c r="A38" s="11" t="s">
        <v>55</v>
      </c>
    </row>
    <row r="39" customFormat="false" ht="15" hidden="false" customHeight="false" outlineLevel="0" collapsed="false">
      <c r="A39" s="11" t="s">
        <v>12</v>
      </c>
      <c r="B39" s="12"/>
    </row>
    <row r="40" customFormat="false" ht="15" hidden="false" customHeight="false" outlineLevel="0" collapsed="false">
      <c r="A40" s="11" t="s">
        <v>15</v>
      </c>
      <c r="B40" s="12"/>
    </row>
    <row r="41" customFormat="false" ht="15" hidden="false" customHeight="false" outlineLevel="0" collapsed="false">
      <c r="A41" s="11" t="s">
        <v>56</v>
      </c>
    </row>
    <row r="42" customFormat="false" ht="15" hidden="false" customHeight="false" outlineLevel="0" collapsed="false">
      <c r="A42" s="11" t="s">
        <v>16</v>
      </c>
      <c r="B42" s="12"/>
    </row>
    <row r="44" customFormat="false" ht="15" hidden="false" customHeight="false" outlineLevel="0" collapsed="false">
      <c r="A44" s="8" t="s">
        <v>57</v>
      </c>
      <c r="C44" s="10" t="s">
        <v>58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 customFormat="false" ht="15" hidden="false" customHeight="false" outlineLevel="0" collapsed="false">
      <c r="A45" s="8" t="s">
        <v>59</v>
      </c>
      <c r="G45" s="11" t="s">
        <v>60</v>
      </c>
    </row>
    <row r="46" customFormat="false" ht="15" hidden="false" customHeight="false" outlineLevel="0" collapsed="false">
      <c r="A46" s="8" t="s">
        <v>61</v>
      </c>
      <c r="G46" s="11" t="s">
        <v>62</v>
      </c>
    </row>
    <row r="47" customFormat="false" ht="15" hidden="false" customHeight="false" outlineLevel="0" collapsed="false">
      <c r="A47" s="8" t="s">
        <v>63</v>
      </c>
      <c r="G47" s="11" t="s">
        <v>64</v>
      </c>
    </row>
    <row r="48" customFormat="false" ht="15" hidden="false" customHeight="false" outlineLevel="0" collapsed="false">
      <c r="A48" s="8" t="s">
        <v>65</v>
      </c>
      <c r="G48" s="11" t="s">
        <v>66</v>
      </c>
    </row>
    <row r="49" customFormat="false" ht="15" hidden="false" customHeight="false" outlineLevel="0" collapsed="false">
      <c r="A49" s="8" t="s">
        <v>67</v>
      </c>
      <c r="G49" s="11" t="s">
        <v>68</v>
      </c>
    </row>
    <row r="50" customFormat="false" ht="15" hidden="false" customHeight="false" outlineLevel="0" collapsed="false">
      <c r="A50" s="8" t="s">
        <v>69</v>
      </c>
      <c r="G50" s="11" t="s">
        <v>70</v>
      </c>
    </row>
  </sheetData>
  <mergeCells count="18">
    <mergeCell ref="A1:M1"/>
    <mergeCell ref="A2:M2"/>
    <mergeCell ref="A3:M3"/>
    <mergeCell ref="A4:M4"/>
    <mergeCell ref="J6:M6"/>
    <mergeCell ref="O6:Q6"/>
    <mergeCell ref="J7:M7"/>
    <mergeCell ref="O7:Q7"/>
    <mergeCell ref="J8:M8"/>
    <mergeCell ref="O8:P8"/>
    <mergeCell ref="J9:M9"/>
    <mergeCell ref="O9:P9"/>
    <mergeCell ref="J10:M10"/>
    <mergeCell ref="O10:P10"/>
    <mergeCell ref="O11:P11"/>
    <mergeCell ref="C12:M12"/>
    <mergeCell ref="C29:M29"/>
    <mergeCell ref="C44:M44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7" min="7" style="0" width="18"/>
    <col collapsed="false" customWidth="true" hidden="false" outlineLevel="0" max="10" min="10" style="0" width="20"/>
    <col collapsed="false" customWidth="true" hidden="false" outlineLevel="0" max="15" min="15" style="0" width="24"/>
    <col collapsed="false" customWidth="true" hidden="false" outlineLevel="0" max="17" min="17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" t="s">
        <v>71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true" outlineLevel="0" collapsed="false">
      <c r="A4" s="3" t="s">
        <v>72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15" hidden="false" customHeight="false" outlineLevel="0" collapsed="false">
      <c r="J6" s="1" t="s">
        <v>4</v>
      </c>
      <c r="K6" s="1"/>
      <c r="L6" s="1"/>
      <c r="M6" s="1"/>
      <c r="O6" s="1" t="s">
        <v>5</v>
      </c>
      <c r="P6" s="1"/>
      <c r="Q6" s="1"/>
    </row>
    <row r="7" customFormat="false" ht="23.85" hidden="false" customHeight="true" outlineLevel="0" collapsed="false">
      <c r="J7" s="4" t="s">
        <v>6</v>
      </c>
      <c r="K7" s="4"/>
      <c r="L7" s="4"/>
      <c r="M7" s="4"/>
      <c r="O7" s="5" t="s">
        <v>7</v>
      </c>
      <c r="P7" s="5"/>
      <c r="Q7" s="5"/>
    </row>
    <row r="8" customFormat="false" ht="23.85" hidden="false" customHeight="true" outlineLevel="0" collapsed="false">
      <c r="J8" s="4" t="s">
        <v>8</v>
      </c>
      <c r="K8" s="4"/>
      <c r="L8" s="4"/>
      <c r="M8" s="4"/>
      <c r="O8" s="6" t="s">
        <v>9</v>
      </c>
      <c r="P8" s="6"/>
      <c r="Q8" s="7" t="n">
        <v>59.2</v>
      </c>
    </row>
    <row r="9" customFormat="false" ht="23.85" hidden="false" customHeight="true" outlineLevel="0" collapsed="false">
      <c r="A9" s="8" t="s">
        <v>10</v>
      </c>
      <c r="J9" s="4" t="s">
        <v>11</v>
      </c>
      <c r="K9" s="4"/>
      <c r="L9" s="4"/>
      <c r="M9" s="4"/>
      <c r="O9" s="6" t="s">
        <v>12</v>
      </c>
      <c r="P9" s="6"/>
      <c r="Q9" s="9" t="n">
        <v>12000</v>
      </c>
    </row>
    <row r="10" customFormat="false" ht="23.85" hidden="false" customHeight="true" outlineLevel="0" collapsed="false">
      <c r="A10" s="8" t="s">
        <v>13</v>
      </c>
      <c r="J10" s="4" t="s">
        <v>14</v>
      </c>
      <c r="K10" s="4"/>
      <c r="L10" s="4"/>
      <c r="M10" s="4"/>
      <c r="O10" s="6" t="s">
        <v>15</v>
      </c>
      <c r="P10" s="6"/>
      <c r="Q10" s="9" t="n">
        <v>93000</v>
      </c>
    </row>
    <row r="11" customFormat="false" ht="15" hidden="false" customHeight="false" outlineLevel="0" collapsed="false">
      <c r="O11" s="6" t="s">
        <v>16</v>
      </c>
      <c r="P11" s="6"/>
      <c r="Q11" s="9" t="n">
        <v>1050</v>
      </c>
    </row>
    <row r="12" customFormat="false" ht="15" hidden="false" customHeight="false" outlineLevel="0" collapsed="false">
      <c r="A12" s="8" t="s">
        <v>17</v>
      </c>
      <c r="C12" s="10" t="s">
        <v>18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customFormat="false" ht="15" hidden="false" customHeight="false" outlineLevel="0" collapsed="false">
      <c r="A13" s="8" t="s">
        <v>19</v>
      </c>
      <c r="B13" s="8" t="s">
        <v>20</v>
      </c>
      <c r="C13" s="8" t="s">
        <v>21</v>
      </c>
      <c r="D13" s="8" t="s">
        <v>22</v>
      </c>
      <c r="E13" s="8" t="s">
        <v>23</v>
      </c>
      <c r="F13" s="8" t="s">
        <v>24</v>
      </c>
    </row>
    <row r="14" customFormat="false" ht="15" hidden="false" customHeight="false" outlineLevel="0" collapsed="false">
      <c r="A14" s="11" t="s">
        <v>25</v>
      </c>
      <c r="B14" s="11" t="n">
        <v>0.25</v>
      </c>
      <c r="C14" s="12" t="n">
        <f aca="false">15000*B14</f>
        <v>3750</v>
      </c>
      <c r="D14" s="11" t="n">
        <v>8</v>
      </c>
      <c r="E14" s="11" t="n">
        <v>180</v>
      </c>
      <c r="F14" s="12" t="n">
        <f aca="false">E14-D14</f>
        <v>172</v>
      </c>
    </row>
    <row r="15" customFormat="false" ht="15" hidden="false" customHeight="false" outlineLevel="0" collapsed="false">
      <c r="A15" s="11" t="s">
        <v>26</v>
      </c>
      <c r="B15" s="11" t="n">
        <v>0.3</v>
      </c>
      <c r="C15" s="12" t="n">
        <f aca="false">15000*B15</f>
        <v>4500</v>
      </c>
      <c r="D15" s="11" t="n">
        <v>35</v>
      </c>
      <c r="E15" s="11" t="n">
        <v>120</v>
      </c>
      <c r="F15" s="12" t="n">
        <f aca="false">E15-D15</f>
        <v>85</v>
      </c>
    </row>
    <row r="16" customFormat="false" ht="15" hidden="false" customHeight="false" outlineLevel="0" collapsed="false">
      <c r="A16" s="11" t="s">
        <v>27</v>
      </c>
      <c r="B16" s="11" t="n">
        <v>0.2</v>
      </c>
      <c r="C16" s="12" t="n">
        <f aca="false">15000*B16</f>
        <v>3000</v>
      </c>
      <c r="D16" s="11" t="n">
        <v>15</v>
      </c>
      <c r="E16" s="11" t="n">
        <v>40</v>
      </c>
      <c r="F16" s="12" t="n">
        <f aca="false">E16-D16</f>
        <v>25</v>
      </c>
    </row>
    <row r="17" customFormat="false" ht="15" hidden="false" customHeight="false" outlineLevel="0" collapsed="false">
      <c r="A17" s="11" t="s">
        <v>28</v>
      </c>
      <c r="B17" s="11" t="n">
        <v>0.15</v>
      </c>
      <c r="C17" s="12" t="n">
        <f aca="false">15000*B17</f>
        <v>2250</v>
      </c>
      <c r="D17" s="11" t="n">
        <v>10</v>
      </c>
      <c r="E17" s="11" t="n">
        <v>8</v>
      </c>
      <c r="F17" s="12" t="n">
        <f aca="false">E17-D17</f>
        <v>-2</v>
      </c>
    </row>
    <row r="18" customFormat="false" ht="15" hidden="false" customHeight="false" outlineLevel="0" collapsed="false">
      <c r="A18" s="11" t="s">
        <v>29</v>
      </c>
      <c r="B18" s="11" t="n">
        <v>0.1</v>
      </c>
      <c r="C18" s="12" t="n">
        <f aca="false">15000*B18</f>
        <v>1500</v>
      </c>
      <c r="D18" s="11" t="n">
        <v>20</v>
      </c>
      <c r="E18" s="11" t="n">
        <v>0</v>
      </c>
      <c r="F18" s="12" t="n">
        <f aca="false">E18-D18</f>
        <v>-20</v>
      </c>
    </row>
    <row r="19" customFormat="false" ht="15" hidden="false" customHeight="false" outlineLevel="0" collapsed="false">
      <c r="A19" s="8" t="s">
        <v>30</v>
      </c>
      <c r="B19" s="11" t="n">
        <v>1</v>
      </c>
      <c r="C19" s="12" t="n">
        <f aca="false">SUM(C14:C18)</f>
        <v>15000</v>
      </c>
    </row>
    <row r="21" customFormat="false" ht="15" hidden="false" customHeight="false" outlineLevel="0" collapsed="false">
      <c r="A21" s="8" t="s">
        <v>31</v>
      </c>
    </row>
    <row r="22" customFormat="false" ht="15" hidden="false" customHeight="false" outlineLevel="0" collapsed="false">
      <c r="A22" s="8" t="s">
        <v>32</v>
      </c>
      <c r="B22" s="8" t="s">
        <v>33</v>
      </c>
      <c r="C22" s="8" t="s">
        <v>34</v>
      </c>
    </row>
    <row r="23" customFormat="false" ht="15" hidden="false" customHeight="false" outlineLevel="0" collapsed="false">
      <c r="A23" s="11" t="s">
        <v>35</v>
      </c>
      <c r="B23" s="11" t="s">
        <v>36</v>
      </c>
      <c r="C23" s="11" t="s">
        <v>37</v>
      </c>
    </row>
    <row r="24" customFormat="false" ht="15" hidden="false" customHeight="false" outlineLevel="0" collapsed="false">
      <c r="A24" s="11" t="s">
        <v>38</v>
      </c>
      <c r="B24" s="11" t="s">
        <v>39</v>
      </c>
    </row>
    <row r="25" customFormat="false" ht="15" hidden="false" customHeight="false" outlineLevel="0" collapsed="false">
      <c r="A25" s="11" t="s">
        <v>40</v>
      </c>
      <c r="B25" s="11" t="s">
        <v>41</v>
      </c>
    </row>
    <row r="26" customFormat="false" ht="15" hidden="false" customHeight="false" outlineLevel="0" collapsed="false">
      <c r="A26" s="11" t="s">
        <v>42</v>
      </c>
      <c r="B26" s="11" t="s">
        <v>43</v>
      </c>
    </row>
    <row r="27" customFormat="false" ht="15" hidden="false" customHeight="false" outlineLevel="0" collapsed="false">
      <c r="A27" s="11" t="s">
        <v>44</v>
      </c>
      <c r="B27" s="11" t="s">
        <v>45</v>
      </c>
    </row>
    <row r="29" customFormat="false" ht="15" hidden="false" customHeight="false" outlineLevel="0" collapsed="false">
      <c r="A29" s="8" t="s">
        <v>46</v>
      </c>
      <c r="C29" s="10" t="s">
        <v>47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customFormat="false" ht="15" hidden="false" customHeight="false" outlineLevel="0" collapsed="false">
      <c r="A30" s="8" t="s">
        <v>48</v>
      </c>
      <c r="B30" s="8" t="s">
        <v>49</v>
      </c>
    </row>
    <row r="31" customFormat="false" ht="15" hidden="false" customHeight="false" outlineLevel="0" collapsed="false">
      <c r="A31" s="11" t="s">
        <v>50</v>
      </c>
      <c r="B31" s="12" t="n">
        <f aca="false">15000*12</f>
        <v>180000</v>
      </c>
    </row>
    <row r="32" customFormat="false" ht="15" hidden="false" customHeight="false" outlineLevel="0" collapsed="false">
      <c r="A32" s="11" t="s">
        <v>51</v>
      </c>
      <c r="B32" s="12" t="n">
        <f aca="false">SUMPRODUCT(C14:C18,D14:D18)</f>
        <v>285000</v>
      </c>
    </row>
    <row r="33" customFormat="false" ht="15" hidden="false" customHeight="false" outlineLevel="0" collapsed="false">
      <c r="A33" s="11" t="s">
        <v>52</v>
      </c>
      <c r="B33" s="12" t="n">
        <f aca="false">SUMPRODUCT(C14:C18,E14:E18)</f>
        <v>1353000</v>
      </c>
    </row>
    <row r="34" customFormat="false" ht="15" hidden="false" customHeight="false" outlineLevel="0" collapsed="false">
      <c r="A34" s="11" t="s">
        <v>53</v>
      </c>
      <c r="B34" s="12" t="n">
        <f aca="false">B33-B32-B31</f>
        <v>888000</v>
      </c>
    </row>
    <row r="35" customFormat="false" ht="15" hidden="false" customHeight="false" outlineLevel="0" collapsed="false">
      <c r="A35" s="11" t="s">
        <v>9</v>
      </c>
      <c r="B35" s="13" t="n">
        <f aca="false">B34/15000</f>
        <v>59.2</v>
      </c>
    </row>
    <row r="37" customFormat="false" ht="15" hidden="false" customHeight="false" outlineLevel="0" collapsed="false">
      <c r="A37" s="8" t="s">
        <v>54</v>
      </c>
    </row>
    <row r="38" customFormat="false" ht="15" hidden="false" customHeight="false" outlineLevel="0" collapsed="false">
      <c r="A38" s="11" t="s">
        <v>55</v>
      </c>
    </row>
    <row r="39" customFormat="false" ht="15" hidden="false" customHeight="false" outlineLevel="0" collapsed="false">
      <c r="A39" s="11" t="s">
        <v>12</v>
      </c>
      <c r="B39" s="12" t="n">
        <f aca="false">15000*0.8</f>
        <v>12000</v>
      </c>
    </row>
    <row r="40" customFormat="false" ht="15" hidden="false" customHeight="false" outlineLevel="0" collapsed="false">
      <c r="A40" s="11" t="s">
        <v>15</v>
      </c>
      <c r="B40" s="12" t="n">
        <f aca="false">0.2*(B31+B32)</f>
        <v>93000</v>
      </c>
    </row>
    <row r="41" customFormat="false" ht="15" hidden="false" customHeight="false" outlineLevel="0" collapsed="false">
      <c r="A41" s="11" t="s">
        <v>56</v>
      </c>
    </row>
    <row r="42" customFormat="false" ht="15" hidden="false" customHeight="false" outlineLevel="0" collapsed="false">
      <c r="A42" s="11" t="s">
        <v>16</v>
      </c>
      <c r="B42" s="12" t="n">
        <f aca="false">(0.1-0.03)*15000</f>
        <v>1050</v>
      </c>
    </row>
    <row r="44" customFormat="false" ht="15" hidden="false" customHeight="false" outlineLevel="0" collapsed="false">
      <c r="A44" s="8" t="s">
        <v>57</v>
      </c>
      <c r="C44" s="10" t="s">
        <v>58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 customFormat="false" ht="15" hidden="false" customHeight="false" outlineLevel="0" collapsed="false">
      <c r="A45" s="8" t="s">
        <v>59</v>
      </c>
      <c r="G45" s="11" t="s">
        <v>60</v>
      </c>
    </row>
    <row r="46" customFormat="false" ht="15" hidden="false" customHeight="false" outlineLevel="0" collapsed="false">
      <c r="A46" s="8" t="s">
        <v>61</v>
      </c>
      <c r="G46" s="11" t="s">
        <v>62</v>
      </c>
    </row>
    <row r="47" customFormat="false" ht="15" hidden="false" customHeight="false" outlineLevel="0" collapsed="false">
      <c r="A47" s="8" t="s">
        <v>63</v>
      </c>
      <c r="G47" s="11" t="s">
        <v>64</v>
      </c>
    </row>
    <row r="48" customFormat="false" ht="15" hidden="false" customHeight="false" outlineLevel="0" collapsed="false">
      <c r="A48" s="8" t="s">
        <v>65</v>
      </c>
      <c r="G48" s="11" t="s">
        <v>66</v>
      </c>
    </row>
    <row r="49" customFormat="false" ht="15" hidden="false" customHeight="false" outlineLevel="0" collapsed="false">
      <c r="A49" s="8" t="s">
        <v>67</v>
      </c>
      <c r="G49" s="11" t="s">
        <v>68</v>
      </c>
    </row>
    <row r="50" customFormat="false" ht="15" hidden="false" customHeight="false" outlineLevel="0" collapsed="false">
      <c r="A50" s="8" t="s">
        <v>69</v>
      </c>
      <c r="G50" s="11" t="s">
        <v>70</v>
      </c>
    </row>
  </sheetData>
  <mergeCells count="18">
    <mergeCell ref="A1:M1"/>
    <mergeCell ref="A2:M2"/>
    <mergeCell ref="A3:M3"/>
    <mergeCell ref="A4:M4"/>
    <mergeCell ref="J6:M6"/>
    <mergeCell ref="O6:Q6"/>
    <mergeCell ref="J7:M7"/>
    <mergeCell ref="O7:Q7"/>
    <mergeCell ref="J8:M8"/>
    <mergeCell ref="O8:P8"/>
    <mergeCell ref="J9:M9"/>
    <mergeCell ref="O9:P9"/>
    <mergeCell ref="J10:M10"/>
    <mergeCell ref="O10:P10"/>
    <mergeCell ref="O11:P11"/>
    <mergeCell ref="C12:M12"/>
    <mergeCell ref="C29:M29"/>
    <mergeCell ref="C44:M44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2026-07-08T19:17:39Z</dcterms:created>
  <dc:creator>openpyxl</dc:creator>
  <dc:description/>
  <dc:language>en-US</dc:language>
  <cp:lastModifiedBy/>
  <dcterms:modified xsi:type="dcterms:W3CDTF">2026-07-08T19:17:39Z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