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27 - Supplier Scorecard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<sst xmlns="http://schemas.openxmlformats.org/spreadsheetml/2006/main" count="162" uniqueCount="71">
  <si>
    <t xml:space="preserve">CASE 27: SUPPLIER PERFORMANCE SCORECARD &amp; SEGMENTATION</t>
  </si>
  <si>
    <t xml:space="preserve">Calculation Worksheet</t>
  </si>
  <si>
    <t xml:space="preserve">SCENARIO: An automotive OEM evaluates 4 key suppliers using a weighted scorecard.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</si>
  <si>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</si>
  <si>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</si>
  <si>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</si>
  <si>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Evaluate and tier suppliers for the right relationship.</t>
  </si>
  <si>
    <t xml:space="preserve">Self-check targets.</t>
  </si>
  <si>
    <t xml:space="preserve">Your task: Score suppliers on weighted criteria, then position them on the Kraljic matrix.</t>
  </si>
  <si>
    <t xml:space="preserve">WEIGHTED TOTAL SCORE</t>
  </si>
  <si>
    <t xml:space="preserve">Score each supplier, segment them using the Kraljic matrix, and recommend relationship strategies.</t>
  </si>
  <si>
    <t xml:space="preserve">Approach: Weighted score = Σ(weight × score); strategy follows spend (profit impact) × supply risk.</t>
  </si>
  <si>
    <t xml:space="preserve">Time: ~30 min   •   Fill the shaded input cells, then check the ANSWER KEY sheet only after you finish.</t>
  </si>
  <si>
    <t xml:space="preserve">SCORECARD CRITERIA &amp; WEIGHTS</t>
  </si>
  <si>
    <t xml:space="preserve">Performance Category</t>
  </si>
  <si>
    <t xml:space="preserve">Weight</t>
  </si>
  <si>
    <t xml:space="preserve">Sup-A (Steel)</t>
  </si>
  <si>
    <t xml:space="preserve">Sup-B (Electronics)</t>
  </si>
  <si>
    <t xml:space="preserve">Sup-C (Fasteners)</t>
  </si>
  <si>
    <t xml:space="preserve">Sup-D (Castings)</t>
  </si>
  <si>
    <t xml:space="preserve">Quality (defect rate, PPM)</t>
  </si>
  <si>
    <t xml:space="preserve">Delivery (on-time %, lead time)</t>
  </si>
  <si>
    <t xml:space="preserve">Cost (competitiveness, TCO)</t>
  </si>
  <si>
    <t xml:space="preserve">Responsiveness (flexibility, communication)</t>
  </si>
  <si>
    <t xml:space="preserve">Innovation (new tech, improvement ideas)</t>
  </si>
  <si>
    <t xml:space="preserve">SUPPLIER SPEND &amp; MARKET DATA</t>
  </si>
  <si>
    <t xml:space="preserve">Given values (blue) — do not change.</t>
  </si>
  <si>
    <t xml:space="preserve">Factor</t>
  </si>
  <si>
    <t xml:space="preserve">Annual Spend ($M)</t>
  </si>
  <si>
    <t xml:space="preserve">% of Total Procurement Spend</t>
  </si>
  <si>
    <t xml:space="preserve">Supply Risk (1-5, 5=highest)</t>
  </si>
  <si>
    <t xml:space="preserve"># of Alternative Suppliers</t>
  </si>
  <si>
    <t xml:space="preserve">Switching Cost</t>
  </si>
  <si>
    <t xml:space="preserve">Medium</t>
  </si>
  <si>
    <t xml:space="preserve">Very High</t>
  </si>
  <si>
    <t xml:space="preserve">Low</t>
  </si>
  <si>
    <t xml:space="preserve">High</t>
  </si>
  <si>
    <t xml:space="preserve">KRALJIC MATRIX CLASSIFICATION</t>
  </si>
  <si>
    <t xml:space="preserve">                        HIGH Supply Risk</t>
  </si>
  <si>
    <t xml:space="preserve">  HIGH Profit Impact  → STRATEGIC        | BOTTLENECK ← LOW Profit Impact</t>
  </si>
  <si>
    <t xml:space="preserve">  HIGH Profit Impact  → LEVERAGE         | ROUTINE    ← LOW Profit Impact</t>
  </si>
  <si>
    <t xml:space="preserve">                        LOW Supply Risk</t>
  </si>
  <si>
    <t xml:space="preserve">Supplier</t>
  </si>
  <si>
    <t xml:space="preserve">Profit Impact</t>
  </si>
  <si>
    <t xml:space="preserve">Supply Risk</t>
  </si>
  <si>
    <t xml:space="preserve">Kraljic Category</t>
  </si>
  <si>
    <t xml:space="preserve">Relationship Strategy</t>
  </si>
  <si>
    <t xml:space="preserve">Leverage</t>
  </si>
  <si>
    <t xml:space="preserve">Competitive bidding, multi-source, leverage volume</t>
  </si>
  <si>
    <t xml:space="preserve">Strategic</t>
  </si>
  <si>
    <t xml:space="preserve">Partnership, joint development, long-term contract</t>
  </si>
  <si>
    <t xml:space="preserve">Routine</t>
  </si>
  <si>
    <t xml:space="preserve">Simplify &amp; automate, e-procurement, catalog</t>
  </si>
  <si>
    <t xml:space="preserve">Bottleneck</t>
  </si>
  <si>
    <t xml:space="preserve">Secure supply, safety stock, qualify alternates</t>
  </si>
  <si>
    <t xml:space="preserve">EXAM-STYLE QUESTIONS:</t>
  </si>
  <si>
    <t xml:space="preserve">Answer using the results you computed above.</t>
  </si>
  <si>
    <t xml:space="preserve">Q1: Calculate the weighted total score for each supplier.</t>
  </si>
  <si>
    <t xml:space="preserve">A:82.0  B:83.6  C:82.4  D:80.2 (Σ weight×score)</t>
  </si>
  <si>
    <t xml:space="preserve">Q2: Which supplier has the highest overall score? Which has the most critical weakness?</t>
  </si>
  <si>
    <t xml:space="preserve">B highest (83.6) but delivery 75 is a critical weakness for a Strategic supplier</t>
  </si>
  <si>
    <t xml:space="preserve">Q3: Classify each supplier in the Kraljic matrix. Justify your placement.</t>
  </si>
  <si>
    <t xml:space="preserve">A:Leverage  B:Strategic  C:Routine  D:Bottleneck (spend = profit impact; risk score = supply risk)</t>
  </si>
  <si>
    <t xml:space="preserve">Q4: What relationship strategy is appropriate for each Kraljic category?</t>
  </si>
  <si>
    <t xml:space="preserve">Strategic=partner; Leverage=competitive bid; Bottleneck=secure supply; Routine=simplify</t>
  </si>
  <si>
    <t xml:space="preserve">Q5: Sup-B scores 75 on delivery. Name 2 SRM actions to improve this.</t>
  </si>
  <si>
    <t xml:space="preserve">1) Collaborative forecasting / VMI  2) Delivery KPI with incentives/penalties</t>
  </si>
  <si>
    <t xml:space="preserve">Q6: If Sup-C's quality drops to 60, should you switch suppliers? What factors matter?</t>
  </si>
  <si>
    <t xml:space="preserve">Routine item (15 alternates, low switching) — yes, re-source if quality slips</t>
  </si>
  <si>
    <t xml:space="preserve">Solution Key</t>
  </si>
  <si>
    <t xml:space="preserve">SOLUTION: green cells show worked answers; blue cells are the given inputs.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</si>
</sst>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8" min="8" style="0" width="18"/>
    <col collapsed="false" customWidth="true" hidden="false" outlineLevel="0" max="10" min="10" style="0" width="20"/>
    <col collapsed="false" customWidth="true" hidden="false" outlineLevel="0" max="15" min="15" style="0" width="24"/>
    <col collapsed="false" customWidth="true" hidden="false" outlineLevel="0" max="17" min="17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15" hidden="false" customHeight="false" outlineLevel="0" collapsed="false">
      <c r="J6" s="1" t="s">
        <v>4</v>
      </c>
      <c r="K6" s="1"/>
      <c r="L6" s="1"/>
      <c r="M6" s="1"/>
      <c r="O6" s="1" t="s">
        <v>5</v>
      </c>
      <c r="P6" s="1"/>
      <c r="Q6" s="1"/>
    </row>
    <row r="7" customFormat="false" ht="23.85" hidden="false" customHeight="true" outlineLevel="0" collapsed="false">
      <c r="J7" s="4" t="s">
        <v>6</v>
      </c>
      <c r="K7" s="4"/>
      <c r="L7" s="4"/>
      <c r="M7" s="4"/>
      <c r="O7" s="5" t="s">
        <v>7</v>
      </c>
      <c r="P7" s="5"/>
      <c r="Q7" s="5"/>
    </row>
    <row r="8" customFormat="false" ht="23.85" hidden="false" customHeight="true" outlineLevel="0" collapsed="false">
      <c r="J8" s="4" t="s">
        <v>8</v>
      </c>
      <c r="K8" s="4"/>
      <c r="L8" s="4"/>
      <c r="M8" s="4"/>
      <c r="O8" s="6" t="s">
        <v>9</v>
      </c>
      <c r="P8" s="6"/>
      <c r="Q8" s="7" t="n">
        <v>81.25</v>
      </c>
    </row>
    <row r="9" customFormat="false" ht="23.85" hidden="false" customHeight="true" outlineLevel="0" collapsed="false">
      <c r="A9" s="8" t="s">
        <v>10</v>
      </c>
      <c r="J9" s="4" t="s">
        <v>11</v>
      </c>
      <c r="K9" s="4"/>
      <c r="L9" s="4"/>
      <c r="M9" s="4"/>
      <c r="O9" s="6" t="s">
        <v>9</v>
      </c>
      <c r="P9" s="6"/>
      <c r="Q9" s="7" t="n">
        <v>83.05</v>
      </c>
    </row>
    <row r="10" customFormat="false" ht="23.85" hidden="false" customHeight="true" outlineLevel="0" collapsed="false">
      <c r="J10" s="4" t="s">
        <v>12</v>
      </c>
      <c r="K10" s="4"/>
      <c r="L10" s="4"/>
      <c r="M10" s="4"/>
      <c r="O10" s="6" t="s">
        <v>9</v>
      </c>
      <c r="P10" s="6"/>
      <c r="Q10" s="7" t="n">
        <v>83.3</v>
      </c>
    </row>
    <row r="11" customFormat="false" ht="15" hidden="false" customHeight="false" outlineLevel="0" collapsed="false">
      <c r="A11" s="8" t="s">
        <v>13</v>
      </c>
      <c r="O11" s="6" t="s">
        <v>9</v>
      </c>
      <c r="P11" s="6"/>
      <c r="Q11" s="7" t="n">
        <v>79.1</v>
      </c>
    </row>
    <row r="12" customFormat="false" ht="15" hidden="false" customHeight="false" outlineLevel="0" collapsed="false">
      <c r="A12" s="8" t="s">
        <v>14</v>
      </c>
      <c r="B12" s="8" t="s">
        <v>15</v>
      </c>
      <c r="C12" s="8" t="s">
        <v>16</v>
      </c>
      <c r="D12" s="8" t="s">
        <v>17</v>
      </c>
      <c r="E12" s="8" t="s">
        <v>18</v>
      </c>
      <c r="F12" s="8" t="s">
        <v>19</v>
      </c>
    </row>
    <row r="13" customFormat="false" ht="15" hidden="false" customHeight="false" outlineLevel="0" collapsed="false">
      <c r="A13" s="9" t="s">
        <v>20</v>
      </c>
      <c r="B13" s="9" t="n">
        <v>0.3</v>
      </c>
      <c r="C13" s="9" t="n">
        <v>85</v>
      </c>
      <c r="D13" s="9" t="n">
        <v>92</v>
      </c>
      <c r="E13" s="9" t="n">
        <v>78</v>
      </c>
      <c r="F13" s="9" t="n">
        <v>88</v>
      </c>
    </row>
    <row r="14" customFormat="false" ht="15" hidden="false" customHeight="false" outlineLevel="0" collapsed="false">
      <c r="A14" s="9" t="s">
        <v>21</v>
      </c>
      <c r="B14" s="9" t="n">
        <v>0.25</v>
      </c>
      <c r="C14" s="9" t="n">
        <v>90</v>
      </c>
      <c r="D14" s="9" t="n">
        <v>75</v>
      </c>
      <c r="E14" s="9" t="n">
        <v>95</v>
      </c>
      <c r="F14" s="9" t="n">
        <v>82</v>
      </c>
    </row>
    <row r="15" customFormat="false" ht="15" hidden="false" customHeight="false" outlineLevel="0" collapsed="false">
      <c r="A15" s="9" t="s">
        <v>22</v>
      </c>
      <c r="B15" s="9" t="n">
        <v>0.2</v>
      </c>
      <c r="C15" s="9" t="n">
        <v>80</v>
      </c>
      <c r="D15" s="9" t="n">
        <v>70</v>
      </c>
      <c r="E15" s="9" t="n">
        <v>92</v>
      </c>
      <c r="F15" s="9" t="n">
        <v>76</v>
      </c>
    </row>
    <row r="16" customFormat="false" ht="15" hidden="false" customHeight="false" outlineLevel="0" collapsed="false">
      <c r="A16" s="9" t="s">
        <v>23</v>
      </c>
      <c r="B16" s="9" t="n">
        <v>0.15</v>
      </c>
      <c r="C16" s="9" t="n">
        <v>75</v>
      </c>
      <c r="D16" s="9" t="n">
        <v>88</v>
      </c>
      <c r="E16" s="9" t="n">
        <v>85</v>
      </c>
      <c r="F16" s="9" t="n">
        <v>70</v>
      </c>
    </row>
    <row r="17" customFormat="false" ht="15" hidden="false" customHeight="false" outlineLevel="0" collapsed="false">
      <c r="A17" s="9" t="s">
        <v>24</v>
      </c>
      <c r="B17" s="9" t="n">
        <v>0.1</v>
      </c>
      <c r="C17" s="9" t="n">
        <v>60</v>
      </c>
      <c r="D17" s="9" t="n">
        <v>95</v>
      </c>
      <c r="E17" s="9" t="n">
        <v>50</v>
      </c>
      <c r="F17" s="9" t="n">
        <v>65</v>
      </c>
    </row>
    <row r="18" customFormat="false" ht="15" hidden="false" customHeight="false" outlineLevel="0" collapsed="false">
      <c r="A18" s="8" t="s">
        <v>9</v>
      </c>
      <c r="C18" s="10"/>
      <c r="D18" s="10"/>
      <c r="E18" s="10"/>
      <c r="F18" s="10"/>
    </row>
    <row r="20" customFormat="false" ht="15" hidden="false" customHeight="false" outlineLevel="0" collapsed="false">
      <c r="A20" s="8" t="s">
        <v>25</v>
      </c>
      <c r="C20" s="11" t="s">
        <v>26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customFormat="false" ht="15" hidden="false" customHeight="false" outlineLevel="0" collapsed="false">
      <c r="A21" s="8" t="s">
        <v>27</v>
      </c>
      <c r="B21" s="8" t="s">
        <v>16</v>
      </c>
      <c r="C21" s="8" t="s">
        <v>17</v>
      </c>
      <c r="D21" s="8" t="s">
        <v>18</v>
      </c>
      <c r="E21" s="8" t="s">
        <v>19</v>
      </c>
    </row>
    <row r="22" customFormat="false" ht="15" hidden="false" customHeight="false" outlineLevel="0" collapsed="false">
      <c r="A22" s="9" t="s">
        <v>28</v>
      </c>
      <c r="B22" s="9" t="n">
        <v>8.5</v>
      </c>
      <c r="C22" s="9" t="n">
        <v>12</v>
      </c>
      <c r="D22" s="9" t="n">
        <v>0.8</v>
      </c>
      <c r="E22" s="9" t="n">
        <v>4.2</v>
      </c>
    </row>
    <row r="23" customFormat="false" ht="15" hidden="false" customHeight="false" outlineLevel="0" collapsed="false">
      <c r="A23" s="9" t="s">
        <v>29</v>
      </c>
      <c r="B23" s="9" t="n">
        <v>0.15</v>
      </c>
      <c r="C23" s="9" t="n">
        <v>0.21</v>
      </c>
      <c r="D23" s="9" t="n">
        <v>0.01</v>
      </c>
      <c r="E23" s="9" t="n">
        <v>0.07</v>
      </c>
    </row>
    <row r="24" customFormat="false" ht="15" hidden="false" customHeight="false" outlineLevel="0" collapsed="false">
      <c r="A24" s="9" t="s">
        <v>30</v>
      </c>
      <c r="B24" s="9" t="n">
        <v>3</v>
      </c>
      <c r="C24" s="9" t="n">
        <v>5</v>
      </c>
      <c r="D24" s="9" t="n">
        <v>1</v>
      </c>
      <c r="E24" s="9" t="n">
        <v>4</v>
      </c>
    </row>
    <row r="25" customFormat="false" ht="15" hidden="false" customHeight="false" outlineLevel="0" collapsed="false">
      <c r="A25" s="9" t="s">
        <v>31</v>
      </c>
      <c r="B25" s="9" t="n">
        <v>4</v>
      </c>
      <c r="C25" s="9" t="n">
        <v>2</v>
      </c>
      <c r="D25" s="9" t="n">
        <v>15</v>
      </c>
      <c r="E25" s="9" t="n">
        <v>3</v>
      </c>
    </row>
    <row r="26" customFormat="false" ht="15" hidden="false" customHeight="false" outlineLevel="0" collapsed="false">
      <c r="A26" s="9" t="s">
        <v>32</v>
      </c>
      <c r="B26" s="9" t="s">
        <v>33</v>
      </c>
      <c r="C26" s="9" t="s">
        <v>34</v>
      </c>
      <c r="D26" s="9" t="s">
        <v>35</v>
      </c>
      <c r="E26" s="9" t="s">
        <v>36</v>
      </c>
    </row>
    <row r="28" customFormat="false" ht="15" hidden="false" customHeight="false" outlineLevel="0" collapsed="false">
      <c r="A28" s="8" t="s">
        <v>37</v>
      </c>
    </row>
    <row r="29" customFormat="false" ht="15" hidden="false" customHeight="false" outlineLevel="0" collapsed="false">
      <c r="A29" s="8" t="s">
        <v>38</v>
      </c>
    </row>
    <row r="30" customFormat="false" ht="15" hidden="false" customHeight="false" outlineLevel="0" collapsed="false">
      <c r="A30" s="9" t="s">
        <v>39</v>
      </c>
    </row>
    <row r="31" customFormat="false" ht="15" hidden="false" customHeight="false" outlineLevel="0" collapsed="false">
      <c r="A31" s="9" t="s">
        <v>40</v>
      </c>
    </row>
    <row r="32" customFormat="false" ht="15" hidden="false" customHeight="false" outlineLevel="0" collapsed="false">
      <c r="A32" s="8" t="s">
        <v>41</v>
      </c>
    </row>
    <row r="34" customFormat="false" ht="15" hidden="false" customHeight="false" outlineLevel="0" collapsed="false">
      <c r="A34" s="8" t="s">
        <v>42</v>
      </c>
      <c r="B34" s="8" t="s">
        <v>43</v>
      </c>
      <c r="C34" s="8" t="s">
        <v>44</v>
      </c>
      <c r="D34" s="8" t="s">
        <v>45</v>
      </c>
      <c r="E34" s="8" t="s">
        <v>46</v>
      </c>
    </row>
    <row r="35" customFormat="false" ht="15" hidden="false" customHeight="false" outlineLevel="0" collapsed="false">
      <c r="A35" s="9" t="s">
        <v>16</v>
      </c>
      <c r="D35" s="9" t="s">
        <v>47</v>
      </c>
      <c r="E35" s="9" t="s">
        <v>48</v>
      </c>
    </row>
    <row r="36" customFormat="false" ht="15" hidden="false" customHeight="false" outlineLevel="0" collapsed="false">
      <c r="A36" s="9" t="s">
        <v>17</v>
      </c>
      <c r="D36" s="9" t="s">
        <v>49</v>
      </c>
      <c r="E36" s="9" t="s">
        <v>50</v>
      </c>
    </row>
    <row r="37" customFormat="false" ht="15" hidden="false" customHeight="false" outlineLevel="0" collapsed="false">
      <c r="A37" s="9" t="s">
        <v>18</v>
      </c>
      <c r="D37" s="9" t="s">
        <v>51</v>
      </c>
      <c r="E37" s="9" t="s">
        <v>52</v>
      </c>
    </row>
    <row r="38" customFormat="false" ht="15" hidden="false" customHeight="false" outlineLevel="0" collapsed="false">
      <c r="A38" s="9" t="s">
        <v>19</v>
      </c>
      <c r="D38" s="9" t="s">
        <v>53</v>
      </c>
      <c r="E38" s="9" t="s">
        <v>54</v>
      </c>
    </row>
    <row r="40" customFormat="false" ht="15" hidden="false" customHeight="false" outlineLevel="0" collapsed="false">
      <c r="A40" s="8" t="s">
        <v>55</v>
      </c>
      <c r="C40" s="11" t="s">
        <v>56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customFormat="false" ht="15" hidden="false" customHeight="false" outlineLevel="0" collapsed="false">
      <c r="A41" s="8" t="s">
        <v>57</v>
      </c>
      <c r="G41" s="9" t="s">
        <v>58</v>
      </c>
    </row>
    <row r="42" customFormat="false" ht="15" hidden="false" customHeight="false" outlineLevel="0" collapsed="false">
      <c r="A42" s="8" t="s">
        <v>59</v>
      </c>
      <c r="G42" s="9" t="s">
        <v>60</v>
      </c>
    </row>
    <row r="43" customFormat="false" ht="15" hidden="false" customHeight="false" outlineLevel="0" collapsed="false">
      <c r="A43" s="8" t="s">
        <v>61</v>
      </c>
      <c r="G43" s="9" t="s">
        <v>62</v>
      </c>
    </row>
    <row r="44" customFormat="false" ht="15" hidden="false" customHeight="false" outlineLevel="0" collapsed="false">
      <c r="A44" s="8" t="s">
        <v>63</v>
      </c>
      <c r="G44" s="9" t="s">
        <v>64</v>
      </c>
    </row>
    <row r="45" customFormat="false" ht="15" hidden="false" customHeight="false" outlineLevel="0" collapsed="false">
      <c r="A45" s="8" t="s">
        <v>65</v>
      </c>
      <c r="G45" s="9" t="s">
        <v>66</v>
      </c>
    </row>
    <row r="46" customFormat="false" ht="15" hidden="false" customHeight="false" outlineLevel="0" collapsed="false">
      <c r="A46" s="8" t="s">
        <v>67</v>
      </c>
      <c r="G46" s="9" t="s">
        <v>68</v>
      </c>
    </row>
  </sheetData>
  <mergeCells count="17">
    <mergeCell ref="A1:M1"/>
    <mergeCell ref="A2:M2"/>
    <mergeCell ref="A3:M3"/>
    <mergeCell ref="A4:M4"/>
    <mergeCell ref="J6:M6"/>
    <mergeCell ref="O6:Q6"/>
    <mergeCell ref="J7:M7"/>
    <mergeCell ref="O7:Q7"/>
    <mergeCell ref="J8:M8"/>
    <mergeCell ref="O8:P8"/>
    <mergeCell ref="J9:M9"/>
    <mergeCell ref="O9:P9"/>
    <mergeCell ref="J10:M10"/>
    <mergeCell ref="O10:P10"/>
    <mergeCell ref="O11:P11"/>
    <mergeCell ref="C20:M20"/>
    <mergeCell ref="C40:M40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8" min="8" style="0" width="18"/>
    <col collapsed="false" customWidth="true" hidden="false" outlineLevel="0" max="10" min="10" style="0" width="20"/>
    <col collapsed="false" customWidth="true" hidden="false" outlineLevel="0" max="15" min="15" style="0" width="24"/>
    <col collapsed="false" customWidth="true" hidden="false" outlineLevel="0" max="17" min="17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" t="s">
        <v>69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true" outlineLevel="0" collapsed="false">
      <c r="A4" s="3" t="s">
        <v>70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15" hidden="false" customHeight="false" outlineLevel="0" collapsed="false">
      <c r="J6" s="1" t="s">
        <v>4</v>
      </c>
      <c r="K6" s="1"/>
      <c r="L6" s="1"/>
      <c r="M6" s="1"/>
      <c r="O6" s="1" t="s">
        <v>5</v>
      </c>
      <c r="P6" s="1"/>
      <c r="Q6" s="1"/>
    </row>
    <row r="7" customFormat="false" ht="23.85" hidden="false" customHeight="true" outlineLevel="0" collapsed="false">
      <c r="J7" s="4" t="s">
        <v>6</v>
      </c>
      <c r="K7" s="4"/>
      <c r="L7" s="4"/>
      <c r="M7" s="4"/>
      <c r="O7" s="5" t="s">
        <v>7</v>
      </c>
      <c r="P7" s="5"/>
      <c r="Q7" s="5"/>
    </row>
    <row r="8" customFormat="false" ht="23.85" hidden="false" customHeight="true" outlineLevel="0" collapsed="false">
      <c r="J8" s="4" t="s">
        <v>8</v>
      </c>
      <c r="K8" s="4"/>
      <c r="L8" s="4"/>
      <c r="M8" s="4"/>
      <c r="O8" s="6" t="s">
        <v>9</v>
      </c>
      <c r="P8" s="6"/>
      <c r="Q8" s="7" t="n">
        <v>81.25</v>
      </c>
    </row>
    <row r="9" customFormat="false" ht="23.85" hidden="false" customHeight="true" outlineLevel="0" collapsed="false">
      <c r="A9" s="8" t="s">
        <v>10</v>
      </c>
      <c r="J9" s="4" t="s">
        <v>11</v>
      </c>
      <c r="K9" s="4"/>
      <c r="L9" s="4"/>
      <c r="M9" s="4"/>
      <c r="O9" s="6" t="s">
        <v>9</v>
      </c>
      <c r="P9" s="6"/>
      <c r="Q9" s="7" t="n">
        <v>83.05</v>
      </c>
    </row>
    <row r="10" customFormat="false" ht="23.85" hidden="false" customHeight="true" outlineLevel="0" collapsed="false">
      <c r="J10" s="4" t="s">
        <v>12</v>
      </c>
      <c r="K10" s="4"/>
      <c r="L10" s="4"/>
      <c r="M10" s="4"/>
      <c r="O10" s="6" t="s">
        <v>9</v>
      </c>
      <c r="P10" s="6"/>
      <c r="Q10" s="7" t="n">
        <v>83.3</v>
      </c>
    </row>
    <row r="11" customFormat="false" ht="15" hidden="false" customHeight="false" outlineLevel="0" collapsed="false">
      <c r="A11" s="8" t="s">
        <v>13</v>
      </c>
      <c r="O11" s="6" t="s">
        <v>9</v>
      </c>
      <c r="P11" s="6"/>
      <c r="Q11" s="7" t="n">
        <v>79.1</v>
      </c>
    </row>
    <row r="12" customFormat="false" ht="15" hidden="false" customHeight="false" outlineLevel="0" collapsed="false">
      <c r="A12" s="8" t="s">
        <v>14</v>
      </c>
      <c r="B12" s="8" t="s">
        <v>15</v>
      </c>
      <c r="C12" s="8" t="s">
        <v>16</v>
      </c>
      <c r="D12" s="8" t="s">
        <v>17</v>
      </c>
      <c r="E12" s="8" t="s">
        <v>18</v>
      </c>
      <c r="F12" s="8" t="s">
        <v>19</v>
      </c>
    </row>
    <row r="13" customFormat="false" ht="15" hidden="false" customHeight="false" outlineLevel="0" collapsed="false">
      <c r="A13" s="9" t="s">
        <v>20</v>
      </c>
      <c r="B13" s="9" t="n">
        <v>0.3</v>
      </c>
      <c r="C13" s="9" t="n">
        <v>85</v>
      </c>
      <c r="D13" s="9" t="n">
        <v>92</v>
      </c>
      <c r="E13" s="9" t="n">
        <v>78</v>
      </c>
      <c r="F13" s="9" t="n">
        <v>88</v>
      </c>
    </row>
    <row r="14" customFormat="false" ht="15" hidden="false" customHeight="false" outlineLevel="0" collapsed="false">
      <c r="A14" s="9" t="s">
        <v>21</v>
      </c>
      <c r="B14" s="9" t="n">
        <v>0.25</v>
      </c>
      <c r="C14" s="9" t="n">
        <v>90</v>
      </c>
      <c r="D14" s="9" t="n">
        <v>75</v>
      </c>
      <c r="E14" s="9" t="n">
        <v>95</v>
      </c>
      <c r="F14" s="9" t="n">
        <v>82</v>
      </c>
    </row>
    <row r="15" customFormat="false" ht="15" hidden="false" customHeight="false" outlineLevel="0" collapsed="false">
      <c r="A15" s="9" t="s">
        <v>22</v>
      </c>
      <c r="B15" s="9" t="n">
        <v>0.2</v>
      </c>
      <c r="C15" s="9" t="n">
        <v>80</v>
      </c>
      <c r="D15" s="9" t="n">
        <v>70</v>
      </c>
      <c r="E15" s="9" t="n">
        <v>92</v>
      </c>
      <c r="F15" s="9" t="n">
        <v>76</v>
      </c>
    </row>
    <row r="16" customFormat="false" ht="15" hidden="false" customHeight="false" outlineLevel="0" collapsed="false">
      <c r="A16" s="9" t="s">
        <v>23</v>
      </c>
      <c r="B16" s="9" t="n">
        <v>0.15</v>
      </c>
      <c r="C16" s="9" t="n">
        <v>75</v>
      </c>
      <c r="D16" s="9" t="n">
        <v>88</v>
      </c>
      <c r="E16" s="9" t="n">
        <v>85</v>
      </c>
      <c r="F16" s="9" t="n">
        <v>70</v>
      </c>
    </row>
    <row r="17" customFormat="false" ht="15" hidden="false" customHeight="false" outlineLevel="0" collapsed="false">
      <c r="A17" s="9" t="s">
        <v>24</v>
      </c>
      <c r="B17" s="9" t="n">
        <v>0.1</v>
      </c>
      <c r="C17" s="9" t="n">
        <v>60</v>
      </c>
      <c r="D17" s="9" t="n">
        <v>95</v>
      </c>
      <c r="E17" s="9" t="n">
        <v>50</v>
      </c>
      <c r="F17" s="9" t="n">
        <v>65</v>
      </c>
    </row>
    <row r="18" customFormat="false" ht="15" hidden="false" customHeight="false" outlineLevel="0" collapsed="false">
      <c r="A18" s="8" t="s">
        <v>9</v>
      </c>
      <c r="C18" s="10" t="n">
        <f aca="false">SUMPRODUCT($B$13:$B$17,C13:C17)</f>
        <v>81.25</v>
      </c>
      <c r="D18" s="10" t="n">
        <f aca="false">SUMPRODUCT($B$13:$B$17,D13:D17)</f>
        <v>83.05</v>
      </c>
      <c r="E18" s="10" t="n">
        <f aca="false">SUMPRODUCT($B$13:$B$17,E13:E17)</f>
        <v>83.3</v>
      </c>
      <c r="F18" s="10" t="n">
        <f aca="false">SUMPRODUCT($B$13:$B$17,F13:F17)</f>
        <v>79.1</v>
      </c>
    </row>
    <row r="20" customFormat="false" ht="15" hidden="false" customHeight="false" outlineLevel="0" collapsed="false">
      <c r="A20" s="8" t="s">
        <v>25</v>
      </c>
      <c r="C20" s="11" t="s">
        <v>26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customFormat="false" ht="15" hidden="false" customHeight="false" outlineLevel="0" collapsed="false">
      <c r="A21" s="8" t="s">
        <v>27</v>
      </c>
      <c r="B21" s="8" t="s">
        <v>16</v>
      </c>
      <c r="C21" s="8" t="s">
        <v>17</v>
      </c>
      <c r="D21" s="8" t="s">
        <v>18</v>
      </c>
      <c r="E21" s="8" t="s">
        <v>19</v>
      </c>
    </row>
    <row r="22" customFormat="false" ht="15" hidden="false" customHeight="false" outlineLevel="0" collapsed="false">
      <c r="A22" s="9" t="s">
        <v>28</v>
      </c>
      <c r="B22" s="9" t="n">
        <v>8.5</v>
      </c>
      <c r="C22" s="9" t="n">
        <v>12</v>
      </c>
      <c r="D22" s="9" t="n">
        <v>0.8</v>
      </c>
      <c r="E22" s="9" t="n">
        <v>4.2</v>
      </c>
    </row>
    <row r="23" customFormat="false" ht="15" hidden="false" customHeight="false" outlineLevel="0" collapsed="false">
      <c r="A23" s="9" t="s">
        <v>29</v>
      </c>
      <c r="B23" s="9" t="n">
        <v>0.15</v>
      </c>
      <c r="C23" s="9" t="n">
        <v>0.21</v>
      </c>
      <c r="D23" s="9" t="n">
        <v>0.01</v>
      </c>
      <c r="E23" s="9" t="n">
        <v>0.07</v>
      </c>
    </row>
    <row r="24" customFormat="false" ht="15" hidden="false" customHeight="false" outlineLevel="0" collapsed="false">
      <c r="A24" s="9" t="s">
        <v>30</v>
      </c>
      <c r="B24" s="9" t="n">
        <v>3</v>
      </c>
      <c r="C24" s="9" t="n">
        <v>5</v>
      </c>
      <c r="D24" s="9" t="n">
        <v>1</v>
      </c>
      <c r="E24" s="9" t="n">
        <v>4</v>
      </c>
    </row>
    <row r="25" customFormat="false" ht="15" hidden="false" customHeight="false" outlineLevel="0" collapsed="false">
      <c r="A25" s="9" t="s">
        <v>31</v>
      </c>
      <c r="B25" s="9" t="n">
        <v>4</v>
      </c>
      <c r="C25" s="9" t="n">
        <v>2</v>
      </c>
      <c r="D25" s="9" t="n">
        <v>15</v>
      </c>
      <c r="E25" s="9" t="n">
        <v>3</v>
      </c>
    </row>
    <row r="26" customFormat="false" ht="15" hidden="false" customHeight="false" outlineLevel="0" collapsed="false">
      <c r="A26" s="9" t="s">
        <v>32</v>
      </c>
      <c r="B26" s="9" t="s">
        <v>33</v>
      </c>
      <c r="C26" s="9" t="s">
        <v>34</v>
      </c>
      <c r="D26" s="9" t="s">
        <v>35</v>
      </c>
      <c r="E26" s="9" t="s">
        <v>36</v>
      </c>
    </row>
    <row r="28" customFormat="false" ht="15" hidden="false" customHeight="false" outlineLevel="0" collapsed="false">
      <c r="A28" s="8" t="s">
        <v>37</v>
      </c>
    </row>
    <row r="29" customFormat="false" ht="15" hidden="false" customHeight="false" outlineLevel="0" collapsed="false">
      <c r="A29" s="8" t="s">
        <v>38</v>
      </c>
    </row>
    <row r="30" customFormat="false" ht="15" hidden="false" customHeight="false" outlineLevel="0" collapsed="false">
      <c r="A30" s="9" t="s">
        <v>39</v>
      </c>
    </row>
    <row r="31" customFormat="false" ht="15" hidden="false" customHeight="false" outlineLevel="0" collapsed="false">
      <c r="A31" s="9" t="s">
        <v>40</v>
      </c>
    </row>
    <row r="32" customFormat="false" ht="15" hidden="false" customHeight="false" outlineLevel="0" collapsed="false">
      <c r="A32" s="8" t="s">
        <v>41</v>
      </c>
    </row>
    <row r="34" customFormat="false" ht="15" hidden="false" customHeight="false" outlineLevel="0" collapsed="false">
      <c r="A34" s="8" t="s">
        <v>42</v>
      </c>
      <c r="B34" s="8" t="s">
        <v>43</v>
      </c>
      <c r="C34" s="8" t="s">
        <v>44</v>
      </c>
      <c r="D34" s="8" t="s">
        <v>45</v>
      </c>
      <c r="E34" s="8" t="s">
        <v>46</v>
      </c>
    </row>
    <row r="35" customFormat="false" ht="15" hidden="false" customHeight="false" outlineLevel="0" collapsed="false">
      <c r="A35" s="9" t="s">
        <v>16</v>
      </c>
      <c r="D35" s="9" t="s">
        <v>47</v>
      </c>
      <c r="E35" s="9" t="s">
        <v>48</v>
      </c>
    </row>
    <row r="36" customFormat="false" ht="15" hidden="false" customHeight="false" outlineLevel="0" collapsed="false">
      <c r="A36" s="9" t="s">
        <v>17</v>
      </c>
      <c r="D36" s="9" t="s">
        <v>49</v>
      </c>
      <c r="E36" s="9" t="s">
        <v>50</v>
      </c>
    </row>
    <row r="37" customFormat="false" ht="15" hidden="false" customHeight="false" outlineLevel="0" collapsed="false">
      <c r="A37" s="9" t="s">
        <v>18</v>
      </c>
      <c r="D37" s="9" t="s">
        <v>51</v>
      </c>
      <c r="E37" s="9" t="s">
        <v>52</v>
      </c>
    </row>
    <row r="38" customFormat="false" ht="15" hidden="false" customHeight="false" outlineLevel="0" collapsed="false">
      <c r="A38" s="9" t="s">
        <v>19</v>
      </c>
      <c r="D38" s="9" t="s">
        <v>53</v>
      </c>
      <c r="E38" s="9" t="s">
        <v>54</v>
      </c>
    </row>
    <row r="40" customFormat="false" ht="15" hidden="false" customHeight="false" outlineLevel="0" collapsed="false">
      <c r="A40" s="8" t="s">
        <v>55</v>
      </c>
      <c r="C40" s="11" t="s">
        <v>56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customFormat="false" ht="15" hidden="false" customHeight="false" outlineLevel="0" collapsed="false">
      <c r="A41" s="8" t="s">
        <v>57</v>
      </c>
      <c r="G41" s="9" t="s">
        <v>58</v>
      </c>
    </row>
    <row r="42" customFormat="false" ht="15" hidden="false" customHeight="false" outlineLevel="0" collapsed="false">
      <c r="A42" s="8" t="s">
        <v>59</v>
      </c>
      <c r="G42" s="9" t="s">
        <v>60</v>
      </c>
    </row>
    <row r="43" customFormat="false" ht="15" hidden="false" customHeight="false" outlineLevel="0" collapsed="false">
      <c r="A43" s="8" t="s">
        <v>61</v>
      </c>
      <c r="G43" s="9" t="s">
        <v>62</v>
      </c>
    </row>
    <row r="44" customFormat="false" ht="15" hidden="false" customHeight="false" outlineLevel="0" collapsed="false">
      <c r="A44" s="8" t="s">
        <v>63</v>
      </c>
      <c r="G44" s="9" t="s">
        <v>64</v>
      </c>
    </row>
    <row r="45" customFormat="false" ht="15" hidden="false" customHeight="false" outlineLevel="0" collapsed="false">
      <c r="A45" s="8" t="s">
        <v>65</v>
      </c>
      <c r="G45" s="9" t="s">
        <v>66</v>
      </c>
    </row>
    <row r="46" customFormat="false" ht="15" hidden="false" customHeight="false" outlineLevel="0" collapsed="false">
      <c r="A46" s="8" t="s">
        <v>67</v>
      </c>
      <c r="G46" s="9" t="s">
        <v>68</v>
      </c>
    </row>
  </sheetData>
  <mergeCells count="17">
    <mergeCell ref="A1:M1"/>
    <mergeCell ref="A2:M2"/>
    <mergeCell ref="A3:M3"/>
    <mergeCell ref="A4:M4"/>
    <mergeCell ref="J6:M6"/>
    <mergeCell ref="O6:Q6"/>
    <mergeCell ref="J7:M7"/>
    <mergeCell ref="O7:Q7"/>
    <mergeCell ref="J8:M8"/>
    <mergeCell ref="O8:P8"/>
    <mergeCell ref="J9:M9"/>
    <mergeCell ref="O9:P9"/>
    <mergeCell ref="J10:M10"/>
    <mergeCell ref="O10:P10"/>
    <mergeCell ref="O11:P11"/>
    <mergeCell ref="C20:M20"/>
    <mergeCell ref="C40:M40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2026-07-08T19:17:39Z</dcterms:created>
  <dc:creator>openpyxl</dc:creator>
  <dc:description/>
  <dc:language>en-US</dc:language>
  <cp:lastModifiedBy/>
  <dcterms:modified xsi:type="dcterms:W3CDTF">2026-07-08T19:17:39Z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