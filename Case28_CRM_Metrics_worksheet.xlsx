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28 - CRM Metrics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<sst xmlns="http://schemas.openxmlformats.org/spreadsheetml/2006/main" count="162" uniqueCount="71">
  <si>
    <t xml:space="preserve">CASE 28: CUSTOMER SEGMENTATION, SERVICE METRICS &amp; CRM ANALYSIS</t>
  </si>
  <si>
    <t xml:space="preserve">Calculation Worksheet</t>
  </si>
  <si>
    <t xml:space="preserve">SCENARIO: A building materials distributor serves 200 customers. Segment them by value,</t>
  </si>
  <si>
    <t xml:space="preserve">HOW TO USE: Blue cells are given. Green cells are yours to compute. Self-check against the Check Figures panel.</t>
  </si>
  <si>
    <t xml:space="preserve">▸ HOW TO COMPLETE THIS CASE</t>
  </si>
  <si>
    <t xml:space="preserve">CHECK FIGURES</t>
  </si>
  <si>
    <t xml:space="preserve">Objective: Segment customers and design differentiated service.</t>
  </si>
  <si>
    <t xml:space="preserve">Self-check targets.</t>
  </si>
  <si>
    <t xml:space="preserve">Your task: Run the Pareto segmentation, compute service metrics and customer lifetime value.</t>
  </si>
  <si>
    <t xml:space="preserve">Tier 1</t>
  </si>
  <si>
    <t xml:space="preserve">calculate key customer service metrics, and recommend differentiated service strategies.</t>
  </si>
  <si>
    <t xml:space="preserve">Approach: Concentrate service and collaboration on high-value tiers; don't over-serve unprofitable ones.</t>
  </si>
  <si>
    <t xml:space="preserve">Tier 2</t>
  </si>
  <si>
    <t xml:space="preserve">Time: ~30 min   •   Fill the shaded input cells, then check the ANSWER KEY sheet only after you finish.</t>
  </si>
  <si>
    <t xml:space="preserve">Tier 3</t>
  </si>
  <si>
    <t xml:space="preserve">CUSTOMER SEGMENTATION (Pareto Analysis)</t>
  </si>
  <si>
    <t xml:space="preserve">Tier 4</t>
  </si>
  <si>
    <t xml:space="preserve">Segment</t>
  </si>
  <si>
    <t xml:space="preserve"># Customers</t>
  </si>
  <si>
    <t xml:space="preserve">% of Customers</t>
  </si>
  <si>
    <t xml:space="preserve">Annual Revenue ($M)</t>
  </si>
  <si>
    <t xml:space="preserve">% of Revenue</t>
  </si>
  <si>
    <t xml:space="preserve">Avg Profit Margin</t>
  </si>
  <si>
    <t xml:space="preserve">Tier 1 — Strategic (top)</t>
  </si>
  <si>
    <t xml:space="preserve">Tier 2 — Growth</t>
  </si>
  <si>
    <t xml:space="preserve">Tier 3 — Maintenance</t>
  </si>
  <si>
    <t xml:space="preserve">Tier 4 — Transactional</t>
  </si>
  <si>
    <t xml:space="preserve">TOTAL</t>
  </si>
  <si>
    <t xml:space="preserve">CUSTOMER SERVICE METRICS (Last Quarter)</t>
  </si>
  <si>
    <t xml:space="preserve">Compute each metric in the green cells.</t>
  </si>
  <si>
    <t xml:space="preserve">Metric</t>
  </si>
  <si>
    <t xml:space="preserve">Target</t>
  </si>
  <si>
    <t xml:space="preserve">On-Time Delivery (%)</t>
  </si>
  <si>
    <t xml:space="preserve">Order Fill Rate (%)</t>
  </si>
  <si>
    <t xml:space="preserve">Perfect Order Fulfillment (%)</t>
  </si>
  <si>
    <t xml:space="preserve">Order Cycle Time (days)</t>
  </si>
  <si>
    <t xml:space="preserve">Customer Complaints (per 100 orders)</t>
  </si>
  <si>
    <t xml:space="preserve">Net Promoter Score (NPS)</t>
  </si>
  <si>
    <t xml:space="preserve">DIFFERENTIATED SERVICE STRATEGY</t>
  </si>
  <si>
    <t xml:space="preserve">Service Element</t>
  </si>
  <si>
    <t xml:space="preserve">Dedicated Account Manager?</t>
  </si>
  <si>
    <t xml:space="preserve">Delivery Priority Level</t>
  </si>
  <si>
    <t xml:space="preserve">Payment Terms</t>
  </si>
  <si>
    <t xml:space="preserve">Volume Discounts</t>
  </si>
  <si>
    <t xml:space="preserve">Demand Planning Collaboration</t>
  </si>
  <si>
    <t xml:space="preserve">Returns Policy</t>
  </si>
  <si>
    <t xml:space="preserve">CUSTOMER LIFETIME VALUE (CLV) CALCULATION</t>
  </si>
  <si>
    <t xml:space="preserve">Work each green cell using the formula shown.</t>
  </si>
  <si>
    <t xml:space="preserve">Formula: CLV = (Avg Annual Revenue × Profit Margin × Avg Relationship Years) - Acquisition Cost</t>
  </si>
  <si>
    <t xml:space="preserve">Tier</t>
  </si>
  <si>
    <t xml:space="preserve">Avg Rev/Year</t>
  </si>
  <si>
    <t xml:space="preserve">Margin</t>
  </si>
  <si>
    <t xml:space="preserve">Avg Years</t>
  </si>
  <si>
    <t xml:space="preserve">Acq Cost</t>
  </si>
  <si>
    <t xml:space="preserve">CLV</t>
  </si>
  <si>
    <t xml:space="preserve">EXAM-STYLE QUESTIONS:</t>
  </si>
  <si>
    <t xml:space="preserve">Answer using the results you computed above.</t>
  </si>
  <si>
    <t xml:space="preserve">Q1: Calculate the CLV for each customer tier. Which has the highest CLV?</t>
  </si>
  <si>
    <t xml:space="preserve">T1:$705K  T2:$149.5K  T3:$30.75K  T4:$500 — Tier 1 by far highest</t>
  </si>
  <si>
    <t xml:space="preserve">Q2: Does the Pareto principle (80/20) hold here? Show the math.</t>
  </si>
  <si>
    <t xml:space="preserve">Near-Pareto: top 10% of customers = 60% of revenue; top 30% = 85%</t>
  </si>
  <si>
    <t xml:space="preserve">Q3: Tier 1 on-time delivery is 94% vs 95% target. What is the cost risk of this gap?</t>
  </si>
  <si>
    <t xml:space="preserve">1% gap on $18M Tier-1 revenue is material; high-CLV customers with alternatives = high revenue-at-risk</t>
  </si>
  <si>
    <t xml:space="preserve">Q4: Define Perfect Order Fulfillment. Why is it lower than both OTD and fill rate?</t>
  </si>
  <si>
    <t xml:space="preserve">Perfect Order = on-time AND complete AND undamaged AND correct docs (product of all four → lowest metric)</t>
  </si>
  <si>
    <t xml:space="preserve">Q5: A Tier 4 customer requests Tier 1 service levels. How should the company respond?</t>
  </si>
  <si>
    <t xml:space="preserve">Tier-4 CLV $500 &lt; Tier-1 service cost; offer a volume-commitment path to upgrade tiers</t>
  </si>
  <si>
    <t xml:space="preserve">Q6: Two Tier 3 customers have identical revenue but NPS of 55 vs 10. Different strategy?</t>
  </si>
  <si>
    <t xml:space="preserve">NPS 55 (promoter) → invest, possible Tier-2 candidate; NPS 10 (detractor) → different recovery approach</t>
  </si>
  <si>
    <t xml:space="preserve">Solution Key</t>
  </si>
  <si>
    <t xml:space="preserve">SOLUTION: green cells show worked answers; blue cells are the given inputs.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</si>
</sst>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0FD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7" min="7" style="0" width="18"/>
    <col collapsed="false" customWidth="true" hidden="false" outlineLevel="0" max="10" min="10" style="0" width="20"/>
    <col collapsed="false" customWidth="true" hidden="false" outlineLevel="0" max="15" min="15" style="0" width="24"/>
    <col collapsed="false" customWidth="true" hidden="false" outlineLevel="0" max="17" min="17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15" hidden="false" customHeight="false" outlineLevel="0" collapsed="false">
      <c r="J6" s="1" t="s">
        <v>4</v>
      </c>
      <c r="K6" s="1"/>
      <c r="L6" s="1"/>
      <c r="M6" s="1"/>
      <c r="O6" s="1" t="s">
        <v>5</v>
      </c>
      <c r="P6" s="1"/>
      <c r="Q6" s="1"/>
    </row>
    <row r="7" customFormat="false" ht="23.85" hidden="false" customHeight="true" outlineLevel="0" collapsed="false">
      <c r="J7" s="4" t="s">
        <v>6</v>
      </c>
      <c r="K7" s="4"/>
      <c r="L7" s="4"/>
      <c r="M7" s="4"/>
      <c r="O7" s="5" t="s">
        <v>7</v>
      </c>
      <c r="P7" s="5"/>
      <c r="Q7" s="5"/>
    </row>
    <row r="8" customFormat="false" ht="23.85" hidden="false" customHeight="true" outlineLevel="0" collapsed="false">
      <c r="J8" s="4" t="s">
        <v>8</v>
      </c>
      <c r="K8" s="4"/>
      <c r="L8" s="4"/>
      <c r="M8" s="4"/>
      <c r="O8" s="6" t="s">
        <v>9</v>
      </c>
      <c r="P8" s="6"/>
      <c r="Q8" s="7" t="n">
        <v>705000</v>
      </c>
    </row>
    <row r="9" customFormat="false" ht="23.85" hidden="false" customHeight="true" outlineLevel="0" collapsed="false">
      <c r="A9" s="8" t="s">
        <v>10</v>
      </c>
      <c r="J9" s="4" t="s">
        <v>11</v>
      </c>
      <c r="K9" s="4"/>
      <c r="L9" s="4"/>
      <c r="M9" s="4"/>
      <c r="O9" s="6" t="s">
        <v>12</v>
      </c>
      <c r="P9" s="6"/>
      <c r="Q9" s="7" t="n">
        <v>149500</v>
      </c>
    </row>
    <row r="10" customFormat="false" ht="23.85" hidden="false" customHeight="true" outlineLevel="0" collapsed="false">
      <c r="J10" s="4" t="s">
        <v>13</v>
      </c>
      <c r="K10" s="4"/>
      <c r="L10" s="4"/>
      <c r="M10" s="4"/>
      <c r="O10" s="6" t="s">
        <v>14</v>
      </c>
      <c r="P10" s="6"/>
      <c r="Q10" s="7" t="n">
        <v>30750</v>
      </c>
    </row>
    <row r="11" customFormat="false" ht="15" hidden="false" customHeight="false" outlineLevel="0" collapsed="false">
      <c r="A11" s="8" t="s">
        <v>15</v>
      </c>
      <c r="O11" s="6" t="s">
        <v>16</v>
      </c>
      <c r="P11" s="6"/>
      <c r="Q11" s="7" t="n">
        <v>500</v>
      </c>
    </row>
    <row r="12" customFormat="false" ht="15" hidden="false" customHeight="false" outlineLevel="0" collapsed="false">
      <c r="A12" s="8" t="s">
        <v>17</v>
      </c>
      <c r="B12" s="8" t="s">
        <v>18</v>
      </c>
      <c r="C12" s="8" t="s">
        <v>19</v>
      </c>
      <c r="D12" s="8" t="s">
        <v>20</v>
      </c>
      <c r="E12" s="8" t="s">
        <v>21</v>
      </c>
      <c r="F12" s="8" t="s">
        <v>22</v>
      </c>
    </row>
    <row r="13" customFormat="false" ht="15" hidden="false" customHeight="false" outlineLevel="0" collapsed="false">
      <c r="A13" s="9" t="s">
        <v>23</v>
      </c>
      <c r="B13" s="9" t="n">
        <v>20</v>
      </c>
      <c r="C13" s="9" t="n">
        <v>0.1</v>
      </c>
      <c r="D13" s="9" t="n">
        <v>18</v>
      </c>
      <c r="E13" s="9" t="n">
        <v>0.6</v>
      </c>
      <c r="F13" s="9" t="n">
        <v>0.08</v>
      </c>
    </row>
    <row r="14" customFormat="false" ht="15" hidden="false" customHeight="false" outlineLevel="0" collapsed="false">
      <c r="A14" s="9" t="s">
        <v>24</v>
      </c>
      <c r="B14" s="9" t="n">
        <v>40</v>
      </c>
      <c r="C14" s="9" t="n">
        <v>0.2</v>
      </c>
      <c r="D14" s="9" t="n">
        <v>7.5</v>
      </c>
      <c r="E14" s="9" t="n">
        <v>0.25</v>
      </c>
      <c r="F14" s="9" t="n">
        <v>0.12</v>
      </c>
    </row>
    <row r="15" customFormat="false" ht="15" hidden="false" customHeight="false" outlineLevel="0" collapsed="false">
      <c r="A15" s="9" t="s">
        <v>25</v>
      </c>
      <c r="B15" s="9" t="n">
        <v>80</v>
      </c>
      <c r="C15" s="9" t="n">
        <v>0.4</v>
      </c>
      <c r="D15" s="9" t="n">
        <v>3.6</v>
      </c>
      <c r="E15" s="9" t="n">
        <v>0.12</v>
      </c>
      <c r="F15" s="9" t="n">
        <v>0.15</v>
      </c>
    </row>
    <row r="16" customFormat="false" ht="15" hidden="false" customHeight="false" outlineLevel="0" collapsed="false">
      <c r="A16" s="9" t="s">
        <v>26</v>
      </c>
      <c r="B16" s="9" t="n">
        <v>60</v>
      </c>
      <c r="C16" s="9" t="n">
        <v>0.3</v>
      </c>
      <c r="D16" s="9" t="n">
        <v>0.9</v>
      </c>
      <c r="E16" s="9" t="n">
        <v>0.03</v>
      </c>
      <c r="F16" s="9" t="n">
        <v>0.05</v>
      </c>
    </row>
    <row r="17" customFormat="false" ht="15" hidden="false" customHeight="false" outlineLevel="0" collapsed="false">
      <c r="A17" s="8" t="s">
        <v>27</v>
      </c>
      <c r="B17" s="9" t="n">
        <v>200</v>
      </c>
      <c r="C17" s="9" t="n">
        <v>1</v>
      </c>
      <c r="D17" s="9" t="n">
        <v>30</v>
      </c>
      <c r="E17" s="9" t="n">
        <v>1</v>
      </c>
    </row>
    <row r="19" customFormat="false" ht="15" hidden="false" customHeight="false" outlineLevel="0" collapsed="false">
      <c r="A19" s="8" t="s">
        <v>28</v>
      </c>
      <c r="C19" s="10" t="s">
        <v>29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customFormat="false" ht="15" hidden="false" customHeight="false" outlineLevel="0" collapsed="false">
      <c r="A20" s="8" t="s">
        <v>30</v>
      </c>
      <c r="B20" s="8" t="s">
        <v>9</v>
      </c>
      <c r="C20" s="8" t="s">
        <v>12</v>
      </c>
      <c r="D20" s="8" t="s">
        <v>14</v>
      </c>
      <c r="E20" s="8" t="s">
        <v>16</v>
      </c>
      <c r="F20" s="8" t="s">
        <v>31</v>
      </c>
    </row>
    <row r="21" customFormat="false" ht="15" hidden="false" customHeight="false" outlineLevel="0" collapsed="false">
      <c r="A21" s="9" t="s">
        <v>32</v>
      </c>
      <c r="B21" s="9" t="n">
        <v>0.94</v>
      </c>
      <c r="C21" s="9" t="n">
        <v>0.91</v>
      </c>
      <c r="D21" s="9" t="n">
        <v>0.88</v>
      </c>
      <c r="E21" s="9" t="n">
        <v>0.85</v>
      </c>
      <c r="F21" s="9" t="n">
        <v>0.95</v>
      </c>
    </row>
    <row r="22" customFormat="false" ht="15" hidden="false" customHeight="false" outlineLevel="0" collapsed="false">
      <c r="A22" s="9" t="s">
        <v>33</v>
      </c>
      <c r="B22" s="9" t="n">
        <v>0.97</v>
      </c>
      <c r="C22" s="9" t="n">
        <v>0.95</v>
      </c>
      <c r="D22" s="9" t="n">
        <v>0.92</v>
      </c>
      <c r="E22" s="9" t="n">
        <v>0.9</v>
      </c>
      <c r="F22" s="9" t="n">
        <v>0.98</v>
      </c>
    </row>
    <row r="23" customFormat="false" ht="15" hidden="false" customHeight="false" outlineLevel="0" collapsed="false">
      <c r="A23" s="9" t="s">
        <v>34</v>
      </c>
      <c r="B23" s="9" t="n">
        <v>0.88</v>
      </c>
      <c r="C23" s="9" t="n">
        <v>0.82</v>
      </c>
      <c r="D23" s="9" t="n">
        <v>0.78</v>
      </c>
      <c r="E23" s="9" t="n">
        <v>0.75</v>
      </c>
      <c r="F23" s="9" t="n">
        <v>0.9</v>
      </c>
    </row>
    <row r="24" customFormat="false" ht="15" hidden="false" customHeight="false" outlineLevel="0" collapsed="false">
      <c r="A24" s="9" t="s">
        <v>35</v>
      </c>
      <c r="B24" s="9" t="n">
        <v>3</v>
      </c>
      <c r="C24" s="9" t="n">
        <v>5</v>
      </c>
      <c r="D24" s="9" t="n">
        <v>7</v>
      </c>
      <c r="E24" s="9" t="n">
        <v>10</v>
      </c>
      <c r="F24" s="9" t="n">
        <v>3</v>
      </c>
    </row>
    <row r="25" customFormat="false" ht="15" hidden="false" customHeight="false" outlineLevel="0" collapsed="false">
      <c r="A25" s="9" t="s">
        <v>36</v>
      </c>
      <c r="B25" s="9" t="n">
        <v>2.1</v>
      </c>
      <c r="C25" s="9" t="n">
        <v>3.5</v>
      </c>
      <c r="D25" s="9" t="n">
        <v>5.2</v>
      </c>
      <c r="E25" s="9" t="n">
        <v>8</v>
      </c>
      <c r="F25" s="9" t="n">
        <v>2</v>
      </c>
    </row>
    <row r="26" customFormat="false" ht="15" hidden="false" customHeight="false" outlineLevel="0" collapsed="false">
      <c r="A26" s="9" t="s">
        <v>37</v>
      </c>
      <c r="B26" s="9" t="n">
        <v>62</v>
      </c>
      <c r="C26" s="9" t="n">
        <v>45</v>
      </c>
      <c r="D26" s="9" t="n">
        <v>30</v>
      </c>
      <c r="E26" s="9" t="n">
        <v>15</v>
      </c>
    </row>
    <row r="28" customFormat="false" ht="15" hidden="false" customHeight="false" outlineLevel="0" collapsed="false">
      <c r="A28" s="8" t="s">
        <v>38</v>
      </c>
    </row>
    <row r="29" customFormat="false" ht="15" hidden="false" customHeight="false" outlineLevel="0" collapsed="false">
      <c r="A29" s="8" t="s">
        <v>39</v>
      </c>
      <c r="B29" s="8" t="s">
        <v>9</v>
      </c>
      <c r="C29" s="8" t="s">
        <v>12</v>
      </c>
      <c r="D29" s="8" t="s">
        <v>14</v>
      </c>
      <c r="E29" s="8" t="s">
        <v>16</v>
      </c>
    </row>
    <row r="30" customFormat="false" ht="15" hidden="false" customHeight="false" outlineLevel="0" collapsed="false">
      <c r="A30" s="9" t="s">
        <v>40</v>
      </c>
    </row>
    <row r="31" customFormat="false" ht="15" hidden="false" customHeight="false" outlineLevel="0" collapsed="false">
      <c r="A31" s="9" t="s">
        <v>41</v>
      </c>
    </row>
    <row r="32" customFormat="false" ht="15" hidden="false" customHeight="false" outlineLevel="0" collapsed="false">
      <c r="A32" s="9" t="s">
        <v>42</v>
      </c>
    </row>
    <row r="33" customFormat="false" ht="15" hidden="false" customHeight="false" outlineLevel="0" collapsed="false">
      <c r="A33" s="9" t="s">
        <v>43</v>
      </c>
    </row>
    <row r="34" customFormat="false" ht="15" hidden="false" customHeight="false" outlineLevel="0" collapsed="false">
      <c r="A34" s="9" t="s">
        <v>44</v>
      </c>
    </row>
    <row r="35" customFormat="false" ht="15" hidden="false" customHeight="false" outlineLevel="0" collapsed="false">
      <c r="A35" s="9" t="s">
        <v>45</v>
      </c>
    </row>
    <row r="37" customFormat="false" ht="15" hidden="false" customHeight="false" outlineLevel="0" collapsed="false">
      <c r="A37" s="8" t="s">
        <v>46</v>
      </c>
      <c r="C37" s="10" t="s">
        <v>47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customFormat="false" ht="15" hidden="false" customHeight="false" outlineLevel="0" collapsed="false">
      <c r="A38" s="9" t="s">
        <v>48</v>
      </c>
    </row>
    <row r="39" customFormat="false" ht="15" hidden="false" customHeight="false" outlineLevel="0" collapsed="false">
      <c r="A39" s="8" t="s">
        <v>49</v>
      </c>
      <c r="B39" s="8" t="s">
        <v>50</v>
      </c>
      <c r="C39" s="8" t="s">
        <v>51</v>
      </c>
      <c r="D39" s="8" t="s">
        <v>52</v>
      </c>
      <c r="E39" s="8" t="s">
        <v>53</v>
      </c>
      <c r="F39" s="8" t="s">
        <v>54</v>
      </c>
    </row>
    <row r="40" customFormat="false" ht="15" hidden="false" customHeight="false" outlineLevel="0" collapsed="false">
      <c r="A40" s="9" t="s">
        <v>9</v>
      </c>
      <c r="B40" s="9" t="n">
        <v>900000</v>
      </c>
      <c r="C40" s="9" t="n">
        <v>0.08</v>
      </c>
      <c r="D40" s="9" t="n">
        <v>10</v>
      </c>
      <c r="E40" s="9" t="n">
        <v>15000</v>
      </c>
      <c r="F40" s="11"/>
    </row>
    <row r="41" customFormat="false" ht="15" hidden="false" customHeight="false" outlineLevel="0" collapsed="false">
      <c r="A41" s="9" t="s">
        <v>12</v>
      </c>
      <c r="B41" s="9" t="n">
        <v>187500</v>
      </c>
      <c r="C41" s="9" t="n">
        <v>0.12</v>
      </c>
      <c r="D41" s="9" t="n">
        <v>7</v>
      </c>
      <c r="E41" s="9" t="n">
        <v>8000</v>
      </c>
      <c r="F41" s="11"/>
    </row>
    <row r="42" customFormat="false" ht="15" hidden="false" customHeight="false" outlineLevel="0" collapsed="false">
      <c r="A42" s="9" t="s">
        <v>14</v>
      </c>
      <c r="B42" s="9" t="n">
        <v>45000</v>
      </c>
      <c r="C42" s="9" t="n">
        <v>0.15</v>
      </c>
      <c r="D42" s="9" t="n">
        <v>5</v>
      </c>
      <c r="E42" s="9" t="n">
        <v>3000</v>
      </c>
      <c r="F42" s="11"/>
    </row>
    <row r="43" customFormat="false" ht="15" hidden="false" customHeight="false" outlineLevel="0" collapsed="false">
      <c r="A43" s="9" t="s">
        <v>16</v>
      </c>
      <c r="B43" s="9" t="n">
        <v>15000</v>
      </c>
      <c r="C43" s="9" t="n">
        <v>0.05</v>
      </c>
      <c r="D43" s="9" t="n">
        <v>2</v>
      </c>
      <c r="E43" s="9" t="n">
        <v>1000</v>
      </c>
      <c r="F43" s="11"/>
    </row>
    <row r="45" customFormat="false" ht="15" hidden="false" customHeight="false" outlineLevel="0" collapsed="false">
      <c r="A45" s="8" t="s">
        <v>55</v>
      </c>
      <c r="C45" s="10" t="s">
        <v>56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customFormat="false" ht="15" hidden="false" customHeight="false" outlineLevel="0" collapsed="false">
      <c r="A46" s="8" t="s">
        <v>57</v>
      </c>
      <c r="F46" s="9" t="s">
        <v>58</v>
      </c>
    </row>
    <row r="47" customFormat="false" ht="15" hidden="false" customHeight="false" outlineLevel="0" collapsed="false">
      <c r="A47" s="8" t="s">
        <v>59</v>
      </c>
      <c r="F47" s="9" t="s">
        <v>60</v>
      </c>
    </row>
    <row r="48" customFormat="false" ht="15" hidden="false" customHeight="false" outlineLevel="0" collapsed="false">
      <c r="A48" s="8" t="s">
        <v>61</v>
      </c>
      <c r="F48" s="9" t="s">
        <v>62</v>
      </c>
    </row>
    <row r="49" customFormat="false" ht="15" hidden="false" customHeight="false" outlineLevel="0" collapsed="false">
      <c r="A49" s="8" t="s">
        <v>63</v>
      </c>
      <c r="F49" s="9" t="s">
        <v>64</v>
      </c>
    </row>
    <row r="50" customFormat="false" ht="15" hidden="false" customHeight="false" outlineLevel="0" collapsed="false">
      <c r="A50" s="8" t="s">
        <v>65</v>
      </c>
      <c r="F50" s="9" t="s">
        <v>66</v>
      </c>
    </row>
    <row r="51" customFormat="false" ht="15" hidden="false" customHeight="false" outlineLevel="0" collapsed="false">
      <c r="A51" s="8" t="s">
        <v>67</v>
      </c>
      <c r="F51" s="9" t="s">
        <v>68</v>
      </c>
    </row>
  </sheetData>
  <mergeCells count="18">
    <mergeCell ref="A1:M1"/>
    <mergeCell ref="A2:M2"/>
    <mergeCell ref="A3:M3"/>
    <mergeCell ref="A4:M4"/>
    <mergeCell ref="J6:M6"/>
    <mergeCell ref="O6:Q6"/>
    <mergeCell ref="J7:M7"/>
    <mergeCell ref="O7:Q7"/>
    <mergeCell ref="J8:M8"/>
    <mergeCell ref="O8:P8"/>
    <mergeCell ref="J9:M9"/>
    <mergeCell ref="O9:P9"/>
    <mergeCell ref="J10:M10"/>
    <mergeCell ref="O10:P10"/>
    <mergeCell ref="O11:P11"/>
    <mergeCell ref="C19:M19"/>
    <mergeCell ref="C37:M37"/>
    <mergeCell ref="C45:M45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7" min="7" style="0" width="18"/>
    <col collapsed="false" customWidth="true" hidden="false" outlineLevel="0" max="10" min="10" style="0" width="20"/>
    <col collapsed="false" customWidth="true" hidden="false" outlineLevel="0" max="15" min="15" style="0" width="24"/>
    <col collapsed="false" customWidth="true" hidden="false" outlineLevel="0" max="17" min="17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1" t="s">
        <v>69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true" outlineLevel="0" collapsed="false">
      <c r="A4" s="3" t="s">
        <v>70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15" hidden="false" customHeight="false" outlineLevel="0" collapsed="false">
      <c r="J6" s="1" t="s">
        <v>4</v>
      </c>
      <c r="K6" s="1"/>
      <c r="L6" s="1"/>
      <c r="M6" s="1"/>
      <c r="O6" s="1" t="s">
        <v>5</v>
      </c>
      <c r="P6" s="1"/>
      <c r="Q6" s="1"/>
    </row>
    <row r="7" customFormat="false" ht="23.85" hidden="false" customHeight="true" outlineLevel="0" collapsed="false">
      <c r="J7" s="4" t="s">
        <v>6</v>
      </c>
      <c r="K7" s="4"/>
      <c r="L7" s="4"/>
      <c r="M7" s="4"/>
      <c r="O7" s="5" t="s">
        <v>7</v>
      </c>
      <c r="P7" s="5"/>
      <c r="Q7" s="5"/>
    </row>
    <row r="8" customFormat="false" ht="23.85" hidden="false" customHeight="true" outlineLevel="0" collapsed="false">
      <c r="J8" s="4" t="s">
        <v>8</v>
      </c>
      <c r="K8" s="4"/>
      <c r="L8" s="4"/>
      <c r="M8" s="4"/>
      <c r="O8" s="6" t="s">
        <v>9</v>
      </c>
      <c r="P8" s="6"/>
      <c r="Q8" s="7" t="n">
        <v>705000</v>
      </c>
    </row>
    <row r="9" customFormat="false" ht="23.85" hidden="false" customHeight="true" outlineLevel="0" collapsed="false">
      <c r="A9" s="8" t="s">
        <v>10</v>
      </c>
      <c r="J9" s="4" t="s">
        <v>11</v>
      </c>
      <c r="K9" s="4"/>
      <c r="L9" s="4"/>
      <c r="M9" s="4"/>
      <c r="O9" s="6" t="s">
        <v>12</v>
      </c>
      <c r="P9" s="6"/>
      <c r="Q9" s="7" t="n">
        <v>149500</v>
      </c>
    </row>
    <row r="10" customFormat="false" ht="23.85" hidden="false" customHeight="true" outlineLevel="0" collapsed="false">
      <c r="J10" s="4" t="s">
        <v>13</v>
      </c>
      <c r="K10" s="4"/>
      <c r="L10" s="4"/>
      <c r="M10" s="4"/>
      <c r="O10" s="6" t="s">
        <v>14</v>
      </c>
      <c r="P10" s="6"/>
      <c r="Q10" s="7" t="n">
        <v>30750</v>
      </c>
    </row>
    <row r="11" customFormat="false" ht="15" hidden="false" customHeight="false" outlineLevel="0" collapsed="false">
      <c r="A11" s="8" t="s">
        <v>15</v>
      </c>
      <c r="O11" s="6" t="s">
        <v>16</v>
      </c>
      <c r="P11" s="6"/>
      <c r="Q11" s="7" t="n">
        <v>500</v>
      </c>
    </row>
    <row r="12" customFormat="false" ht="15" hidden="false" customHeight="false" outlineLevel="0" collapsed="false">
      <c r="A12" s="8" t="s">
        <v>17</v>
      </c>
      <c r="B12" s="8" t="s">
        <v>18</v>
      </c>
      <c r="C12" s="8" t="s">
        <v>19</v>
      </c>
      <c r="D12" s="8" t="s">
        <v>20</v>
      </c>
      <c r="E12" s="8" t="s">
        <v>21</v>
      </c>
      <c r="F12" s="8" t="s">
        <v>22</v>
      </c>
    </row>
    <row r="13" customFormat="false" ht="15" hidden="false" customHeight="false" outlineLevel="0" collapsed="false">
      <c r="A13" s="9" t="s">
        <v>23</v>
      </c>
      <c r="B13" s="9" t="n">
        <v>20</v>
      </c>
      <c r="C13" s="9" t="n">
        <v>0.1</v>
      </c>
      <c r="D13" s="9" t="n">
        <v>18</v>
      </c>
      <c r="E13" s="9" t="n">
        <v>0.6</v>
      </c>
      <c r="F13" s="9" t="n">
        <v>0.08</v>
      </c>
    </row>
    <row r="14" customFormat="false" ht="15" hidden="false" customHeight="false" outlineLevel="0" collapsed="false">
      <c r="A14" s="9" t="s">
        <v>24</v>
      </c>
      <c r="B14" s="9" t="n">
        <v>40</v>
      </c>
      <c r="C14" s="9" t="n">
        <v>0.2</v>
      </c>
      <c r="D14" s="9" t="n">
        <v>7.5</v>
      </c>
      <c r="E14" s="9" t="n">
        <v>0.25</v>
      </c>
      <c r="F14" s="9" t="n">
        <v>0.12</v>
      </c>
    </row>
    <row r="15" customFormat="false" ht="15" hidden="false" customHeight="false" outlineLevel="0" collapsed="false">
      <c r="A15" s="9" t="s">
        <v>25</v>
      </c>
      <c r="B15" s="9" t="n">
        <v>80</v>
      </c>
      <c r="C15" s="9" t="n">
        <v>0.4</v>
      </c>
      <c r="D15" s="9" t="n">
        <v>3.6</v>
      </c>
      <c r="E15" s="9" t="n">
        <v>0.12</v>
      </c>
      <c r="F15" s="9" t="n">
        <v>0.15</v>
      </c>
    </row>
    <row r="16" customFormat="false" ht="15" hidden="false" customHeight="false" outlineLevel="0" collapsed="false">
      <c r="A16" s="9" t="s">
        <v>26</v>
      </c>
      <c r="B16" s="9" t="n">
        <v>60</v>
      </c>
      <c r="C16" s="9" t="n">
        <v>0.3</v>
      </c>
      <c r="D16" s="9" t="n">
        <v>0.9</v>
      </c>
      <c r="E16" s="9" t="n">
        <v>0.03</v>
      </c>
      <c r="F16" s="9" t="n">
        <v>0.05</v>
      </c>
    </row>
    <row r="17" customFormat="false" ht="15" hidden="false" customHeight="false" outlineLevel="0" collapsed="false">
      <c r="A17" s="8" t="s">
        <v>27</v>
      </c>
      <c r="B17" s="9" t="n">
        <v>200</v>
      </c>
      <c r="C17" s="9" t="n">
        <v>1</v>
      </c>
      <c r="D17" s="9" t="n">
        <v>30</v>
      </c>
      <c r="E17" s="9" t="n">
        <v>1</v>
      </c>
    </row>
    <row r="19" customFormat="false" ht="15" hidden="false" customHeight="false" outlineLevel="0" collapsed="false">
      <c r="A19" s="8" t="s">
        <v>28</v>
      </c>
      <c r="C19" s="10" t="s">
        <v>29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customFormat="false" ht="15" hidden="false" customHeight="false" outlineLevel="0" collapsed="false">
      <c r="A20" s="8" t="s">
        <v>30</v>
      </c>
      <c r="B20" s="8" t="s">
        <v>9</v>
      </c>
      <c r="C20" s="8" t="s">
        <v>12</v>
      </c>
      <c r="D20" s="8" t="s">
        <v>14</v>
      </c>
      <c r="E20" s="8" t="s">
        <v>16</v>
      </c>
      <c r="F20" s="8" t="s">
        <v>31</v>
      </c>
    </row>
    <row r="21" customFormat="false" ht="15" hidden="false" customHeight="false" outlineLevel="0" collapsed="false">
      <c r="A21" s="9" t="s">
        <v>32</v>
      </c>
      <c r="B21" s="9" t="n">
        <v>0.94</v>
      </c>
      <c r="C21" s="9" t="n">
        <v>0.91</v>
      </c>
      <c r="D21" s="9" t="n">
        <v>0.88</v>
      </c>
      <c r="E21" s="9" t="n">
        <v>0.85</v>
      </c>
      <c r="F21" s="9" t="n">
        <v>0.95</v>
      </c>
    </row>
    <row r="22" customFormat="false" ht="15" hidden="false" customHeight="false" outlineLevel="0" collapsed="false">
      <c r="A22" s="9" t="s">
        <v>33</v>
      </c>
      <c r="B22" s="9" t="n">
        <v>0.97</v>
      </c>
      <c r="C22" s="9" t="n">
        <v>0.95</v>
      </c>
      <c r="D22" s="9" t="n">
        <v>0.92</v>
      </c>
      <c r="E22" s="9" t="n">
        <v>0.9</v>
      </c>
      <c r="F22" s="9" t="n">
        <v>0.98</v>
      </c>
    </row>
    <row r="23" customFormat="false" ht="15" hidden="false" customHeight="false" outlineLevel="0" collapsed="false">
      <c r="A23" s="9" t="s">
        <v>34</v>
      </c>
      <c r="B23" s="9" t="n">
        <v>0.88</v>
      </c>
      <c r="C23" s="9" t="n">
        <v>0.82</v>
      </c>
      <c r="D23" s="9" t="n">
        <v>0.78</v>
      </c>
      <c r="E23" s="9" t="n">
        <v>0.75</v>
      </c>
      <c r="F23" s="9" t="n">
        <v>0.9</v>
      </c>
    </row>
    <row r="24" customFormat="false" ht="15" hidden="false" customHeight="false" outlineLevel="0" collapsed="false">
      <c r="A24" s="9" t="s">
        <v>35</v>
      </c>
      <c r="B24" s="9" t="n">
        <v>3</v>
      </c>
      <c r="C24" s="9" t="n">
        <v>5</v>
      </c>
      <c r="D24" s="9" t="n">
        <v>7</v>
      </c>
      <c r="E24" s="9" t="n">
        <v>10</v>
      </c>
      <c r="F24" s="9" t="n">
        <v>3</v>
      </c>
    </row>
    <row r="25" customFormat="false" ht="15" hidden="false" customHeight="false" outlineLevel="0" collapsed="false">
      <c r="A25" s="9" t="s">
        <v>36</v>
      </c>
      <c r="B25" s="9" t="n">
        <v>2.1</v>
      </c>
      <c r="C25" s="9" t="n">
        <v>3.5</v>
      </c>
      <c r="D25" s="9" t="n">
        <v>5.2</v>
      </c>
      <c r="E25" s="9" t="n">
        <v>8</v>
      </c>
      <c r="F25" s="9" t="n">
        <v>2</v>
      </c>
    </row>
    <row r="26" customFormat="false" ht="15" hidden="false" customHeight="false" outlineLevel="0" collapsed="false">
      <c r="A26" s="9" t="s">
        <v>37</v>
      </c>
      <c r="B26" s="9" t="n">
        <v>62</v>
      </c>
      <c r="C26" s="9" t="n">
        <v>45</v>
      </c>
      <c r="D26" s="9" t="n">
        <v>30</v>
      </c>
      <c r="E26" s="9" t="n">
        <v>15</v>
      </c>
    </row>
    <row r="28" customFormat="false" ht="15" hidden="false" customHeight="false" outlineLevel="0" collapsed="false">
      <c r="A28" s="8" t="s">
        <v>38</v>
      </c>
    </row>
    <row r="29" customFormat="false" ht="15" hidden="false" customHeight="false" outlineLevel="0" collapsed="false">
      <c r="A29" s="8" t="s">
        <v>39</v>
      </c>
      <c r="B29" s="8" t="s">
        <v>9</v>
      </c>
      <c r="C29" s="8" t="s">
        <v>12</v>
      </c>
      <c r="D29" s="8" t="s">
        <v>14</v>
      </c>
      <c r="E29" s="8" t="s">
        <v>16</v>
      </c>
    </row>
    <row r="30" customFormat="false" ht="15" hidden="false" customHeight="false" outlineLevel="0" collapsed="false">
      <c r="A30" s="9" t="s">
        <v>40</v>
      </c>
    </row>
    <row r="31" customFormat="false" ht="15" hidden="false" customHeight="false" outlineLevel="0" collapsed="false">
      <c r="A31" s="9" t="s">
        <v>41</v>
      </c>
    </row>
    <row r="32" customFormat="false" ht="15" hidden="false" customHeight="false" outlineLevel="0" collapsed="false">
      <c r="A32" s="9" t="s">
        <v>42</v>
      </c>
    </row>
    <row r="33" customFormat="false" ht="15" hidden="false" customHeight="false" outlineLevel="0" collapsed="false">
      <c r="A33" s="9" t="s">
        <v>43</v>
      </c>
    </row>
    <row r="34" customFormat="false" ht="15" hidden="false" customHeight="false" outlineLevel="0" collapsed="false">
      <c r="A34" s="9" t="s">
        <v>44</v>
      </c>
    </row>
    <row r="35" customFormat="false" ht="15" hidden="false" customHeight="false" outlineLevel="0" collapsed="false">
      <c r="A35" s="9" t="s">
        <v>45</v>
      </c>
    </row>
    <row r="37" customFormat="false" ht="15" hidden="false" customHeight="false" outlineLevel="0" collapsed="false">
      <c r="A37" s="8" t="s">
        <v>46</v>
      </c>
      <c r="C37" s="10" t="s">
        <v>47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customFormat="false" ht="15" hidden="false" customHeight="false" outlineLevel="0" collapsed="false">
      <c r="A38" s="9" t="s">
        <v>48</v>
      </c>
    </row>
    <row r="39" customFormat="false" ht="15" hidden="false" customHeight="false" outlineLevel="0" collapsed="false">
      <c r="A39" s="8" t="s">
        <v>49</v>
      </c>
      <c r="B39" s="8" t="s">
        <v>50</v>
      </c>
      <c r="C39" s="8" t="s">
        <v>51</v>
      </c>
      <c r="D39" s="8" t="s">
        <v>52</v>
      </c>
      <c r="E39" s="8" t="s">
        <v>53</v>
      </c>
      <c r="F39" s="8" t="s">
        <v>54</v>
      </c>
    </row>
    <row r="40" customFormat="false" ht="15" hidden="false" customHeight="false" outlineLevel="0" collapsed="false">
      <c r="A40" s="9" t="s">
        <v>9</v>
      </c>
      <c r="B40" s="9" t="n">
        <v>900000</v>
      </c>
      <c r="C40" s="9" t="n">
        <v>0.08</v>
      </c>
      <c r="D40" s="9" t="n">
        <v>10</v>
      </c>
      <c r="E40" s="9" t="n">
        <v>15000</v>
      </c>
      <c r="F40" s="11" t="n">
        <f aca="false">B40*C40*D40-E40</f>
        <v>705000</v>
      </c>
    </row>
    <row r="41" customFormat="false" ht="15" hidden="false" customHeight="false" outlineLevel="0" collapsed="false">
      <c r="A41" s="9" t="s">
        <v>12</v>
      </c>
      <c r="B41" s="9" t="n">
        <v>187500</v>
      </c>
      <c r="C41" s="9" t="n">
        <v>0.12</v>
      </c>
      <c r="D41" s="9" t="n">
        <v>7</v>
      </c>
      <c r="E41" s="9" t="n">
        <v>8000</v>
      </c>
      <c r="F41" s="11" t="n">
        <f aca="false">B41*C41*D41-E41</f>
        <v>149500</v>
      </c>
    </row>
    <row r="42" customFormat="false" ht="15" hidden="false" customHeight="false" outlineLevel="0" collapsed="false">
      <c r="A42" s="9" t="s">
        <v>14</v>
      </c>
      <c r="B42" s="9" t="n">
        <v>45000</v>
      </c>
      <c r="C42" s="9" t="n">
        <v>0.15</v>
      </c>
      <c r="D42" s="9" t="n">
        <v>5</v>
      </c>
      <c r="E42" s="9" t="n">
        <v>3000</v>
      </c>
      <c r="F42" s="11" t="n">
        <f aca="false">B42*C42*D42-E42</f>
        <v>30750</v>
      </c>
    </row>
    <row r="43" customFormat="false" ht="15" hidden="false" customHeight="false" outlineLevel="0" collapsed="false">
      <c r="A43" s="9" t="s">
        <v>16</v>
      </c>
      <c r="B43" s="9" t="n">
        <v>15000</v>
      </c>
      <c r="C43" s="9" t="n">
        <v>0.05</v>
      </c>
      <c r="D43" s="9" t="n">
        <v>2</v>
      </c>
      <c r="E43" s="9" t="n">
        <v>1000</v>
      </c>
      <c r="F43" s="11" t="n">
        <f aca="false">B43*C43*D43-E43</f>
        <v>500</v>
      </c>
    </row>
    <row r="45" customFormat="false" ht="15" hidden="false" customHeight="false" outlineLevel="0" collapsed="false">
      <c r="A45" s="8" t="s">
        <v>55</v>
      </c>
      <c r="C45" s="10" t="s">
        <v>56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customFormat="false" ht="15" hidden="false" customHeight="false" outlineLevel="0" collapsed="false">
      <c r="A46" s="8" t="s">
        <v>57</v>
      </c>
      <c r="F46" s="9" t="s">
        <v>58</v>
      </c>
    </row>
    <row r="47" customFormat="false" ht="15" hidden="false" customHeight="false" outlineLevel="0" collapsed="false">
      <c r="A47" s="8" t="s">
        <v>59</v>
      </c>
      <c r="F47" s="9" t="s">
        <v>60</v>
      </c>
    </row>
    <row r="48" customFormat="false" ht="15" hidden="false" customHeight="false" outlineLevel="0" collapsed="false">
      <c r="A48" s="8" t="s">
        <v>61</v>
      </c>
      <c r="F48" s="9" t="s">
        <v>62</v>
      </c>
    </row>
    <row r="49" customFormat="false" ht="15" hidden="false" customHeight="false" outlineLevel="0" collapsed="false">
      <c r="A49" s="8" t="s">
        <v>63</v>
      </c>
      <c r="F49" s="9" t="s">
        <v>64</v>
      </c>
    </row>
    <row r="50" customFormat="false" ht="15" hidden="false" customHeight="false" outlineLevel="0" collapsed="false">
      <c r="A50" s="8" t="s">
        <v>65</v>
      </c>
      <c r="F50" s="9" t="s">
        <v>66</v>
      </c>
    </row>
    <row r="51" customFormat="false" ht="15" hidden="false" customHeight="false" outlineLevel="0" collapsed="false">
      <c r="A51" s="8" t="s">
        <v>67</v>
      </c>
      <c r="F51" s="9" t="s">
        <v>68</v>
      </c>
    </row>
  </sheetData>
  <mergeCells count="18">
    <mergeCell ref="A1:M1"/>
    <mergeCell ref="A2:M2"/>
    <mergeCell ref="A3:M3"/>
    <mergeCell ref="A4:M4"/>
    <mergeCell ref="J6:M6"/>
    <mergeCell ref="O6:Q6"/>
    <mergeCell ref="J7:M7"/>
    <mergeCell ref="O7:Q7"/>
    <mergeCell ref="J8:M8"/>
    <mergeCell ref="O8:P8"/>
    <mergeCell ref="J9:M9"/>
    <mergeCell ref="O9:P9"/>
    <mergeCell ref="J10:M10"/>
    <mergeCell ref="O10:P10"/>
    <mergeCell ref="O11:P11"/>
    <mergeCell ref="C19:M19"/>
    <mergeCell ref="C37:M37"/>
    <mergeCell ref="C45:M45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2026-07-08T19:17:39Z</dcterms:created>
  <dc:creator>openpyxl</dc:creator>
  <dc:description/>
  <dc:language>en-US</dc:language>
  <cp:lastModifiedBy/>
  <dcterms:modified xsi:type="dcterms:W3CDTF">2026-07-08T19:17:40Z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