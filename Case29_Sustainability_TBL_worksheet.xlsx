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29 - Sustainability TBL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<sst xmlns="http://schemas.openxmlformats.org/spreadsheetml/2006/main" count="172" uniqueCount="74">
  <si>
    <t xml:space="preserve">CASE 29: SUSTAINABILITY METRICS &amp; TRIPLE BOTTOM LINE ANALYSIS</t>
  </si>
  <si>
    <t xml:space="preserve">Calculation Worksheet</t>
  </si>
  <si>
    <t xml:space="preserve">SCENARIO: A mid-size manufacturer is implementing a sustainability program aligned with the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</si>
  <si>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</si>
  <si>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</si>
  <si>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</si>
  <si>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Apply triple-bottom-line and emissions metrics.</t>
  </si>
  <si>
    <t xml:space="preserve">Self-check targets.</t>
  </si>
  <si>
    <t xml:space="preserve">Your task: Compute Scope 1/2/3 emissions and a TBL scorecard.</t>
  </si>
  <si>
    <t xml:space="preserve">5-Year ROI</t>
  </si>
  <si>
    <t xml:space="preserve">UN Global Compact and GRI Standards. Evaluate supply chain sustainability using TBL metrics</t>
  </si>
  <si>
    <t xml:space="preserve">Approach: Balance people, planet and profit; tie sustainability to measurable KPIs.</t>
  </si>
  <si>
    <t xml:space="preserve">Total Annual Benefit</t>
  </si>
  <si>
    <t xml:space="preserve">and calculate the business case for two green supply chain initiatives.</t>
  </si>
  <si>
    <t xml:space="preserve">Time: ~25 min   •   Fill the shaded input cells, then check the ANSWER KEY sheet only after you finish.</t>
  </si>
  <si>
    <t xml:space="preserve">Payback Period</t>
  </si>
  <si>
    <t xml:space="preserve">TRIPLE BOTTOM LINE (TBL) CURRENT STATE — BASELINE METRICS</t>
  </si>
  <si>
    <t xml:space="preserve">Compute each metric in the green cells.</t>
  </si>
  <si>
    <t xml:space="preserve">ECONOMIC (Profit)</t>
  </si>
  <si>
    <t xml:space="preserve">Current</t>
  </si>
  <si>
    <t xml:space="preserve">Target</t>
  </si>
  <si>
    <t xml:space="preserve">Gap</t>
  </si>
  <si>
    <t xml:space="preserve">Revenue ($M)</t>
  </si>
  <si>
    <t xml:space="preserve">Supply Chain Cost as % of Revenue</t>
  </si>
  <si>
    <t xml:space="preserve">Total Cost of Ownership - Key Suppliers ($M)</t>
  </si>
  <si>
    <t xml:space="preserve">Waste Disposal Costs ($K/year)</t>
  </si>
  <si>
    <t xml:space="preserve">Energy Costs ($K/year)</t>
  </si>
  <si>
    <t xml:space="preserve">ENVIRONMENTAL (Planet)</t>
  </si>
  <si>
    <t xml:space="preserve">Fill the green planning cells across each period.</t>
  </si>
  <si>
    <t xml:space="preserve">Carbon Emissions — Scope 1 (tons CO2e/year)</t>
  </si>
  <si>
    <t xml:space="preserve">Carbon Emissions — Scope 2 (tons CO2e/year)</t>
  </si>
  <si>
    <t xml:space="preserve">Carbon Emissions — Scope 3 (tons CO2e/year)</t>
  </si>
  <si>
    <t xml:space="preserve">Water Usage (million gallons/year)</t>
  </si>
  <si>
    <t xml:space="preserve">Waste Diverted from Landfill (%)</t>
  </si>
  <si>
    <t xml:space="preserve">Packaging from Recycled Materials (%)</t>
  </si>
  <si>
    <t xml:space="preserve">SOCIAL (People)</t>
  </si>
  <si>
    <t xml:space="preserve">Supplier Social Audit Pass Rate (%)</t>
  </si>
  <si>
    <t xml:space="preserve">Workplace Safety Incident Rate (per 200K hrs)</t>
  </si>
  <si>
    <t xml:space="preserve">SA8000 Certified Suppliers (%)</t>
  </si>
  <si>
    <t xml:space="preserve">Local/Diverse Supplier Spend (%)</t>
  </si>
  <si>
    <t xml:space="preserve">GREEN INITIATIVE BUSINESS CASE</t>
  </si>
  <si>
    <t xml:space="preserve">Initiative A: Fleet Electrification (replace 40% of delivery trucks)</t>
  </si>
  <si>
    <t xml:space="preserve">Investment Cost</t>
  </si>
  <si>
    <t xml:space="preserve">Annual Fuel Savings</t>
  </si>
  <si>
    <t xml:space="preserve">Annual Maintenance Savings</t>
  </si>
  <si>
    <t xml:space="preserve">Annual Carbon Reduction (tons CO2e)</t>
  </si>
  <si>
    <t xml:space="preserve">Carbon Credit Value ($/ton)</t>
  </si>
  <si>
    <t xml:space="preserve">Initiative B: Closed-Loop Packaging Program</t>
  </si>
  <si>
    <t xml:space="preserve">Annual Packaging Cost Savings</t>
  </si>
  <si>
    <t xml:space="preserve">Annual Waste Disposal Savings</t>
  </si>
  <si>
    <t xml:space="preserve">UN GLOBAL COMPACT ALIGNMENT</t>
  </si>
  <si>
    <t xml:space="preserve">Principle Area</t>
  </si>
  <si>
    <t xml:space="preserve">Initiative Alignment</t>
  </si>
  <si>
    <t xml:space="preserve">Company Action</t>
  </si>
  <si>
    <t xml:space="preserve">Human Rights (Principles 1-2)</t>
  </si>
  <si>
    <t xml:space="preserve">Labour (Principles 3-6)</t>
  </si>
  <si>
    <t xml:space="preserve">Environment (Principles 7-9)</t>
  </si>
  <si>
    <t xml:space="preserve">Anti-Corruption (Principle 10)</t>
  </si>
  <si>
    <t xml:space="preserve">EXAM-STYLE QUESTIONS:</t>
  </si>
  <si>
    <t xml:space="preserve">Answer using the results you computed above.</t>
  </si>
  <si>
    <t xml:space="preserve">Q1: Calculate the payback period and 5-year ROI for both initiatives. Which is stronger?</t>
  </si>
  <si>
    <t xml:space="preserve">A: 4.2 yr / ~19% 5-yr ROI ($572K benefit);  B: 2.5 yr / ~102% ($323K benefit)</t>
  </si>
  <si>
    <t xml:space="preserve">Q2: Define the three components of Triple Bottom Line. Give one metric for each.</t>
  </si>
  <si>
    <t xml:space="preserve">Profit (economic), Planet (environmental), People (social)</t>
  </si>
  <si>
    <t xml:space="preserve">Q3: What is the difference between Scope 1, 2, and 3 emissions? Which is hardest to reduce?</t>
  </si>
  <si>
    <t xml:space="preserve">Scope 1 direct (own ops); Scope 2 purchased energy; Scope 3 value-chain (hardest — supplier/transport data)</t>
  </si>
  <si>
    <t xml:space="preserve">Q4: The company's waste diversion is 55% vs 80% target. Name 3 supply chain strategies to close this gap.</t>
  </si>
  <si>
    <t xml:space="preserve">1) Closed-loop packaging  2) Supplier waste-reduction requirements  3) Design for disassembly</t>
  </si>
  <si>
    <t xml:space="preserve">Q5: How does the GRI Standards framework differ from the UN Global Compact?</t>
  </si>
  <si>
    <t xml:space="preserve">GRI = detailed reporting standards/metrics; UNGC = 10 high-level principles</t>
  </si>
  <si>
    <t xml:space="preserve">Q6: A customer requires all Tier 1 suppliers to report Scope 3 emissions. What data is needed?</t>
  </si>
  <si>
    <t xml:space="preserve">Provide Scope 1+2 data and upstream/downstream Scope 3 (supplier emissions, inbound/outbound transport)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</si>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</sst>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7" min="7" style="0" width="18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0.1917</v>
      </c>
    </row>
    <row r="9" customFormat="false" ht="23.8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12</v>
      </c>
      <c r="P9" s="6"/>
      <c r="Q9" s="9" t="n">
        <v>323000</v>
      </c>
    </row>
    <row r="10" customFormat="false" ht="23.85" hidden="false" customHeight="true" outlineLevel="0" collapsed="false">
      <c r="A10" s="8" t="s">
        <v>13</v>
      </c>
      <c r="J10" s="4" t="s">
        <v>14</v>
      </c>
      <c r="K10" s="4"/>
      <c r="L10" s="4"/>
      <c r="M10" s="4"/>
      <c r="O10" s="6" t="s">
        <v>15</v>
      </c>
      <c r="P10" s="6"/>
      <c r="Q10" s="10" t="n">
        <v>2.4768</v>
      </c>
    </row>
    <row r="11" customFormat="false" ht="15" hidden="false" customHeight="false" outlineLevel="0" collapsed="false">
      <c r="O11" s="6" t="s">
        <v>9</v>
      </c>
      <c r="P11" s="6"/>
      <c r="Q11" s="7" t="n">
        <v>1.0188</v>
      </c>
    </row>
    <row r="12" customFormat="false" ht="15" hidden="false" customHeight="false" outlineLevel="0" collapsed="false">
      <c r="A12" s="8" t="s">
        <v>16</v>
      </c>
      <c r="C12" s="11" t="s">
        <v>17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customFormat="false" ht="15" hidden="false" customHeight="false" outlineLevel="0" collapsed="false">
      <c r="A13" s="8" t="s">
        <v>18</v>
      </c>
      <c r="B13" s="8" t="s">
        <v>19</v>
      </c>
      <c r="C13" s="8" t="s">
        <v>20</v>
      </c>
      <c r="D13" s="8" t="s">
        <v>21</v>
      </c>
    </row>
    <row r="14" customFormat="false" ht="15" hidden="false" customHeight="false" outlineLevel="0" collapsed="false">
      <c r="A14" s="12" t="s">
        <v>22</v>
      </c>
      <c r="B14" s="12" t="n">
        <v>85</v>
      </c>
      <c r="C14" s="12" t="n">
        <v>95</v>
      </c>
    </row>
    <row r="15" customFormat="false" ht="15" hidden="false" customHeight="false" outlineLevel="0" collapsed="false">
      <c r="A15" s="12" t="s">
        <v>23</v>
      </c>
      <c r="B15" s="12" t="n">
        <v>0.68</v>
      </c>
      <c r="C15" s="12" t="n">
        <v>0.62</v>
      </c>
    </row>
    <row r="16" customFormat="false" ht="15" hidden="false" customHeight="false" outlineLevel="0" collapsed="false">
      <c r="A16" s="12" t="s">
        <v>24</v>
      </c>
      <c r="B16" s="12" t="n">
        <v>42</v>
      </c>
      <c r="C16" s="12" t="n">
        <v>38</v>
      </c>
    </row>
    <row r="17" customFormat="false" ht="15" hidden="false" customHeight="false" outlineLevel="0" collapsed="false">
      <c r="A17" s="12" t="s">
        <v>25</v>
      </c>
      <c r="B17" s="12" t="n">
        <v>320</v>
      </c>
      <c r="C17" s="12" t="n">
        <v>200</v>
      </c>
    </row>
    <row r="18" customFormat="false" ht="15" hidden="false" customHeight="false" outlineLevel="0" collapsed="false">
      <c r="A18" s="12" t="s">
        <v>26</v>
      </c>
      <c r="B18" s="12" t="n">
        <v>1800</v>
      </c>
      <c r="C18" s="12" t="n">
        <v>1400</v>
      </c>
    </row>
    <row r="20" customFormat="false" ht="15" hidden="false" customHeight="false" outlineLevel="0" collapsed="false">
      <c r="A20" s="8" t="s">
        <v>27</v>
      </c>
      <c r="B20" s="8" t="s">
        <v>19</v>
      </c>
      <c r="C20" s="11" t="s">
        <v>28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5" hidden="false" customHeight="false" outlineLevel="0" collapsed="false">
      <c r="A21" s="12" t="s">
        <v>29</v>
      </c>
      <c r="B21" s="12" t="n">
        <v>4200</v>
      </c>
      <c r="C21" s="12" t="n">
        <v>3000</v>
      </c>
    </row>
    <row r="22" customFormat="false" ht="15" hidden="false" customHeight="false" outlineLevel="0" collapsed="false">
      <c r="A22" s="12" t="s">
        <v>30</v>
      </c>
      <c r="B22" s="12" t="n">
        <v>6800</v>
      </c>
      <c r="C22" s="12" t="n">
        <v>5000</v>
      </c>
    </row>
    <row r="23" customFormat="false" ht="15" hidden="false" customHeight="false" outlineLevel="0" collapsed="false">
      <c r="A23" s="12" t="s">
        <v>31</v>
      </c>
      <c r="B23" s="12" t="n">
        <v>22000</v>
      </c>
      <c r="C23" s="12" t="n">
        <v>18000</v>
      </c>
    </row>
    <row r="24" customFormat="false" ht="15" hidden="false" customHeight="false" outlineLevel="0" collapsed="false">
      <c r="A24" s="12" t="s">
        <v>32</v>
      </c>
      <c r="B24" s="12" t="n">
        <v>15</v>
      </c>
      <c r="C24" s="12" t="n">
        <v>12</v>
      </c>
    </row>
    <row r="25" customFormat="false" ht="15" hidden="false" customHeight="false" outlineLevel="0" collapsed="false">
      <c r="A25" s="12" t="s">
        <v>33</v>
      </c>
      <c r="B25" s="12" t="n">
        <v>0.55</v>
      </c>
      <c r="C25" s="12" t="n">
        <v>0.8</v>
      </c>
    </row>
    <row r="26" customFormat="false" ht="15" hidden="false" customHeight="false" outlineLevel="0" collapsed="false">
      <c r="A26" s="12" t="s">
        <v>34</v>
      </c>
      <c r="B26" s="12" t="n">
        <v>0.3</v>
      </c>
      <c r="C26" s="12" t="n">
        <v>0.6</v>
      </c>
    </row>
    <row r="28" customFormat="false" ht="15" hidden="false" customHeight="false" outlineLevel="0" collapsed="false">
      <c r="A28" s="8" t="s">
        <v>35</v>
      </c>
      <c r="B28" s="8" t="s">
        <v>19</v>
      </c>
      <c r="C28" s="8" t="s">
        <v>20</v>
      </c>
      <c r="D28" s="8" t="s">
        <v>21</v>
      </c>
    </row>
    <row r="29" customFormat="false" ht="15" hidden="false" customHeight="false" outlineLevel="0" collapsed="false">
      <c r="A29" s="12" t="s">
        <v>36</v>
      </c>
      <c r="B29" s="12" t="n">
        <v>0.72</v>
      </c>
      <c r="C29" s="12" t="n">
        <v>0.9</v>
      </c>
    </row>
    <row r="30" customFormat="false" ht="15" hidden="false" customHeight="false" outlineLevel="0" collapsed="false">
      <c r="A30" s="12" t="s">
        <v>37</v>
      </c>
      <c r="B30" s="12" t="n">
        <v>3.2</v>
      </c>
      <c r="C30" s="12" t="n">
        <v>1.5</v>
      </c>
    </row>
    <row r="31" customFormat="false" ht="15" hidden="false" customHeight="false" outlineLevel="0" collapsed="false">
      <c r="A31" s="12" t="s">
        <v>38</v>
      </c>
      <c r="B31" s="12" t="n">
        <v>0.15</v>
      </c>
      <c r="C31" s="12" t="n">
        <v>0.4</v>
      </c>
    </row>
    <row r="32" customFormat="false" ht="15" hidden="false" customHeight="false" outlineLevel="0" collapsed="false">
      <c r="A32" s="12" t="s">
        <v>39</v>
      </c>
      <c r="B32" s="12" t="n">
        <v>0.12</v>
      </c>
      <c r="C32" s="12" t="n">
        <v>0.25</v>
      </c>
    </row>
    <row r="34" customFormat="false" ht="15" hidden="false" customHeight="false" outlineLevel="0" collapsed="false">
      <c r="A34" s="8" t="s">
        <v>40</v>
      </c>
    </row>
    <row r="35" customFormat="false" ht="15" hidden="false" customHeight="false" outlineLevel="0" collapsed="false">
      <c r="A35" s="8" t="s">
        <v>41</v>
      </c>
    </row>
    <row r="36" customFormat="false" ht="15" hidden="false" customHeight="false" outlineLevel="0" collapsed="false">
      <c r="A36" s="12" t="s">
        <v>42</v>
      </c>
      <c r="B36" s="12" t="n">
        <v>2400000</v>
      </c>
    </row>
    <row r="37" customFormat="false" ht="15" hidden="false" customHeight="false" outlineLevel="0" collapsed="false">
      <c r="A37" s="12" t="s">
        <v>43</v>
      </c>
      <c r="B37" s="12" t="n">
        <v>380000</v>
      </c>
    </row>
    <row r="38" customFormat="false" ht="15" hidden="false" customHeight="false" outlineLevel="0" collapsed="false">
      <c r="A38" s="12" t="s">
        <v>44</v>
      </c>
      <c r="B38" s="12" t="n">
        <v>120000</v>
      </c>
    </row>
    <row r="39" customFormat="false" ht="15" hidden="false" customHeight="false" outlineLevel="0" collapsed="false">
      <c r="A39" s="12" t="s">
        <v>45</v>
      </c>
      <c r="B39" s="12" t="n">
        <v>1600</v>
      </c>
    </row>
    <row r="40" customFormat="false" ht="15" hidden="false" customHeight="false" outlineLevel="0" collapsed="false">
      <c r="A40" s="12" t="s">
        <v>46</v>
      </c>
      <c r="B40" s="12" t="n">
        <v>45</v>
      </c>
    </row>
    <row r="41" customFormat="false" ht="15" hidden="false" customHeight="false" outlineLevel="0" collapsed="false">
      <c r="A41" s="12" t="s">
        <v>12</v>
      </c>
      <c r="B41" s="13"/>
    </row>
    <row r="42" customFormat="false" ht="15" hidden="false" customHeight="false" outlineLevel="0" collapsed="false">
      <c r="A42" s="12" t="s">
        <v>15</v>
      </c>
      <c r="B42" s="14"/>
    </row>
    <row r="43" customFormat="false" ht="15" hidden="false" customHeight="false" outlineLevel="0" collapsed="false">
      <c r="A43" s="12" t="s">
        <v>9</v>
      </c>
      <c r="B43" s="15"/>
    </row>
    <row r="45" customFormat="false" ht="15" hidden="false" customHeight="false" outlineLevel="0" collapsed="false">
      <c r="A45" s="8" t="s">
        <v>47</v>
      </c>
    </row>
    <row r="46" customFormat="false" ht="15" hidden="false" customHeight="false" outlineLevel="0" collapsed="false">
      <c r="A46" s="12" t="s">
        <v>42</v>
      </c>
      <c r="B46" s="12" t="n">
        <v>800000</v>
      </c>
    </row>
    <row r="47" customFormat="false" ht="15" hidden="false" customHeight="false" outlineLevel="0" collapsed="false">
      <c r="A47" s="12" t="s">
        <v>48</v>
      </c>
      <c r="B47" s="12" t="n">
        <v>210000</v>
      </c>
    </row>
    <row r="48" customFormat="false" ht="15" hidden="false" customHeight="false" outlineLevel="0" collapsed="false">
      <c r="A48" s="12" t="s">
        <v>49</v>
      </c>
      <c r="B48" s="12" t="n">
        <v>95000</v>
      </c>
    </row>
    <row r="49" customFormat="false" ht="15" hidden="false" customHeight="false" outlineLevel="0" collapsed="false">
      <c r="A49" s="12" t="s">
        <v>45</v>
      </c>
      <c r="B49" s="12" t="n">
        <v>400</v>
      </c>
    </row>
    <row r="50" customFormat="false" ht="15" hidden="false" customHeight="false" outlineLevel="0" collapsed="false">
      <c r="A50" s="12" t="s">
        <v>46</v>
      </c>
      <c r="B50" s="12" t="n">
        <v>45</v>
      </c>
    </row>
    <row r="51" customFormat="false" ht="15" hidden="false" customHeight="false" outlineLevel="0" collapsed="false">
      <c r="A51" s="12" t="s">
        <v>12</v>
      </c>
      <c r="B51" s="13"/>
    </row>
    <row r="52" customFormat="false" ht="15" hidden="false" customHeight="false" outlineLevel="0" collapsed="false">
      <c r="A52" s="12" t="s">
        <v>15</v>
      </c>
      <c r="B52" s="14"/>
    </row>
    <row r="53" customFormat="false" ht="15" hidden="false" customHeight="false" outlineLevel="0" collapsed="false">
      <c r="A53" s="12" t="s">
        <v>9</v>
      </c>
      <c r="B53" s="15"/>
    </row>
    <row r="55" customFormat="false" ht="15" hidden="false" customHeight="false" outlineLevel="0" collapsed="false">
      <c r="A55" s="8" t="s">
        <v>50</v>
      </c>
    </row>
    <row r="56" customFormat="false" ht="15" hidden="false" customHeight="false" outlineLevel="0" collapsed="false">
      <c r="A56" s="8" t="s">
        <v>51</v>
      </c>
      <c r="B56" s="8" t="s">
        <v>52</v>
      </c>
      <c r="C56" s="8" t="s">
        <v>53</v>
      </c>
    </row>
    <row r="57" customFormat="false" ht="15" hidden="false" customHeight="false" outlineLevel="0" collapsed="false">
      <c r="A57" s="12" t="s">
        <v>54</v>
      </c>
    </row>
    <row r="58" customFormat="false" ht="15" hidden="false" customHeight="false" outlineLevel="0" collapsed="false">
      <c r="A58" s="12" t="s">
        <v>55</v>
      </c>
    </row>
    <row r="59" customFormat="false" ht="15" hidden="false" customHeight="false" outlineLevel="0" collapsed="false">
      <c r="A59" s="12" t="s">
        <v>56</v>
      </c>
    </row>
    <row r="60" customFormat="false" ht="15" hidden="false" customHeight="false" outlineLevel="0" collapsed="false">
      <c r="A60" s="12" t="s">
        <v>57</v>
      </c>
    </row>
    <row r="62" customFormat="false" ht="15" hidden="false" customHeight="false" outlineLevel="0" collapsed="false">
      <c r="A62" s="8" t="s">
        <v>58</v>
      </c>
      <c r="C62" s="11" t="s">
        <v>59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customFormat="false" ht="15" hidden="false" customHeight="false" outlineLevel="0" collapsed="false">
      <c r="A63" s="8" t="s">
        <v>60</v>
      </c>
      <c r="F63" s="12" t="s">
        <v>61</v>
      </c>
    </row>
    <row r="64" customFormat="false" ht="15" hidden="false" customHeight="false" outlineLevel="0" collapsed="false">
      <c r="A64" s="8" t="s">
        <v>62</v>
      </c>
      <c r="F64" s="12" t="s">
        <v>63</v>
      </c>
    </row>
    <row r="65" customFormat="false" ht="15" hidden="false" customHeight="false" outlineLevel="0" collapsed="false">
      <c r="A65" s="8" t="s">
        <v>64</v>
      </c>
      <c r="F65" s="12" t="s">
        <v>65</v>
      </c>
    </row>
    <row r="66" customFormat="false" ht="15" hidden="false" customHeight="false" outlineLevel="0" collapsed="false">
      <c r="A66" s="8" t="s">
        <v>66</v>
      </c>
      <c r="F66" s="12" t="s">
        <v>67</v>
      </c>
    </row>
    <row r="67" customFormat="false" ht="15" hidden="false" customHeight="false" outlineLevel="0" collapsed="false">
      <c r="A67" s="8" t="s">
        <v>68</v>
      </c>
      <c r="F67" s="12" t="s">
        <v>69</v>
      </c>
    </row>
    <row r="68" customFormat="false" ht="15" hidden="false" customHeight="false" outlineLevel="0" collapsed="false">
      <c r="A68" s="8" t="s">
        <v>70</v>
      </c>
      <c r="F68" s="12" t="s">
        <v>71</v>
      </c>
    </row>
  </sheetData>
  <mergeCells count="18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12:M12"/>
    <mergeCell ref="C20:M20"/>
    <mergeCell ref="C62:M6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7" min="7" style="0" width="18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72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73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0.1917</v>
      </c>
    </row>
    <row r="9" customFormat="false" ht="23.8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12</v>
      </c>
      <c r="P9" s="6"/>
      <c r="Q9" s="9" t="n">
        <v>323000</v>
      </c>
    </row>
    <row r="10" customFormat="false" ht="23.85" hidden="false" customHeight="true" outlineLevel="0" collapsed="false">
      <c r="A10" s="8" t="s">
        <v>13</v>
      </c>
      <c r="J10" s="4" t="s">
        <v>14</v>
      </c>
      <c r="K10" s="4"/>
      <c r="L10" s="4"/>
      <c r="M10" s="4"/>
      <c r="O10" s="6" t="s">
        <v>15</v>
      </c>
      <c r="P10" s="6"/>
      <c r="Q10" s="10" t="n">
        <v>2.4768</v>
      </c>
    </row>
    <row r="11" customFormat="false" ht="15" hidden="false" customHeight="false" outlineLevel="0" collapsed="false">
      <c r="O11" s="6" t="s">
        <v>9</v>
      </c>
      <c r="P11" s="6"/>
      <c r="Q11" s="7" t="n">
        <v>1.0188</v>
      </c>
    </row>
    <row r="12" customFormat="false" ht="15" hidden="false" customHeight="false" outlineLevel="0" collapsed="false">
      <c r="A12" s="8" t="s">
        <v>16</v>
      </c>
      <c r="C12" s="11" t="s">
        <v>17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customFormat="false" ht="15" hidden="false" customHeight="false" outlineLevel="0" collapsed="false">
      <c r="A13" s="8" t="s">
        <v>18</v>
      </c>
      <c r="B13" s="8" t="s">
        <v>19</v>
      </c>
      <c r="C13" s="8" t="s">
        <v>20</v>
      </c>
      <c r="D13" s="8" t="s">
        <v>21</v>
      </c>
    </row>
    <row r="14" customFormat="false" ht="15" hidden="false" customHeight="false" outlineLevel="0" collapsed="false">
      <c r="A14" s="12" t="s">
        <v>22</v>
      </c>
      <c r="B14" s="12" t="n">
        <v>85</v>
      </c>
      <c r="C14" s="12" t="n">
        <v>95</v>
      </c>
    </row>
    <row r="15" customFormat="false" ht="15" hidden="false" customHeight="false" outlineLevel="0" collapsed="false">
      <c r="A15" s="12" t="s">
        <v>23</v>
      </c>
      <c r="B15" s="12" t="n">
        <v>0.68</v>
      </c>
      <c r="C15" s="12" t="n">
        <v>0.62</v>
      </c>
    </row>
    <row r="16" customFormat="false" ht="15" hidden="false" customHeight="false" outlineLevel="0" collapsed="false">
      <c r="A16" s="12" t="s">
        <v>24</v>
      </c>
      <c r="B16" s="12" t="n">
        <v>42</v>
      </c>
      <c r="C16" s="12" t="n">
        <v>38</v>
      </c>
    </row>
    <row r="17" customFormat="false" ht="15" hidden="false" customHeight="false" outlineLevel="0" collapsed="false">
      <c r="A17" s="12" t="s">
        <v>25</v>
      </c>
      <c r="B17" s="12" t="n">
        <v>320</v>
      </c>
      <c r="C17" s="12" t="n">
        <v>200</v>
      </c>
    </row>
    <row r="18" customFormat="false" ht="15" hidden="false" customHeight="false" outlineLevel="0" collapsed="false">
      <c r="A18" s="12" t="s">
        <v>26</v>
      </c>
      <c r="B18" s="12" t="n">
        <v>1800</v>
      </c>
      <c r="C18" s="12" t="n">
        <v>1400</v>
      </c>
    </row>
    <row r="20" customFormat="false" ht="15" hidden="false" customHeight="false" outlineLevel="0" collapsed="false">
      <c r="A20" s="8" t="s">
        <v>27</v>
      </c>
      <c r="B20" s="8" t="s">
        <v>19</v>
      </c>
      <c r="C20" s="11" t="s">
        <v>28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5" hidden="false" customHeight="false" outlineLevel="0" collapsed="false">
      <c r="A21" s="12" t="s">
        <v>29</v>
      </c>
      <c r="B21" s="12" t="n">
        <v>4200</v>
      </c>
      <c r="C21" s="12" t="n">
        <v>3000</v>
      </c>
    </row>
    <row r="22" customFormat="false" ht="15" hidden="false" customHeight="false" outlineLevel="0" collapsed="false">
      <c r="A22" s="12" t="s">
        <v>30</v>
      </c>
      <c r="B22" s="12" t="n">
        <v>6800</v>
      </c>
      <c r="C22" s="12" t="n">
        <v>5000</v>
      </c>
    </row>
    <row r="23" customFormat="false" ht="15" hidden="false" customHeight="false" outlineLevel="0" collapsed="false">
      <c r="A23" s="12" t="s">
        <v>31</v>
      </c>
      <c r="B23" s="12" t="n">
        <v>22000</v>
      </c>
      <c r="C23" s="12" t="n">
        <v>18000</v>
      </c>
    </row>
    <row r="24" customFormat="false" ht="15" hidden="false" customHeight="false" outlineLevel="0" collapsed="false">
      <c r="A24" s="12" t="s">
        <v>32</v>
      </c>
      <c r="B24" s="12" t="n">
        <v>15</v>
      </c>
      <c r="C24" s="12" t="n">
        <v>12</v>
      </c>
    </row>
    <row r="25" customFormat="false" ht="15" hidden="false" customHeight="false" outlineLevel="0" collapsed="false">
      <c r="A25" s="12" t="s">
        <v>33</v>
      </c>
      <c r="B25" s="12" t="n">
        <v>0.55</v>
      </c>
      <c r="C25" s="12" t="n">
        <v>0.8</v>
      </c>
    </row>
    <row r="26" customFormat="false" ht="15" hidden="false" customHeight="false" outlineLevel="0" collapsed="false">
      <c r="A26" s="12" t="s">
        <v>34</v>
      </c>
      <c r="B26" s="12" t="n">
        <v>0.3</v>
      </c>
      <c r="C26" s="12" t="n">
        <v>0.6</v>
      </c>
    </row>
    <row r="28" customFormat="false" ht="15" hidden="false" customHeight="false" outlineLevel="0" collapsed="false">
      <c r="A28" s="8" t="s">
        <v>35</v>
      </c>
      <c r="B28" s="8" t="s">
        <v>19</v>
      </c>
      <c r="C28" s="8" t="s">
        <v>20</v>
      </c>
      <c r="D28" s="8" t="s">
        <v>21</v>
      </c>
    </row>
    <row r="29" customFormat="false" ht="15" hidden="false" customHeight="false" outlineLevel="0" collapsed="false">
      <c r="A29" s="12" t="s">
        <v>36</v>
      </c>
      <c r="B29" s="12" t="n">
        <v>0.72</v>
      </c>
      <c r="C29" s="12" t="n">
        <v>0.9</v>
      </c>
    </row>
    <row r="30" customFormat="false" ht="15" hidden="false" customHeight="false" outlineLevel="0" collapsed="false">
      <c r="A30" s="12" t="s">
        <v>37</v>
      </c>
      <c r="B30" s="12" t="n">
        <v>3.2</v>
      </c>
      <c r="C30" s="12" t="n">
        <v>1.5</v>
      </c>
    </row>
    <row r="31" customFormat="false" ht="15" hidden="false" customHeight="false" outlineLevel="0" collapsed="false">
      <c r="A31" s="12" t="s">
        <v>38</v>
      </c>
      <c r="B31" s="12" t="n">
        <v>0.15</v>
      </c>
      <c r="C31" s="12" t="n">
        <v>0.4</v>
      </c>
    </row>
    <row r="32" customFormat="false" ht="15" hidden="false" customHeight="false" outlineLevel="0" collapsed="false">
      <c r="A32" s="12" t="s">
        <v>39</v>
      </c>
      <c r="B32" s="12" t="n">
        <v>0.12</v>
      </c>
      <c r="C32" s="12" t="n">
        <v>0.25</v>
      </c>
    </row>
    <row r="34" customFormat="false" ht="15" hidden="false" customHeight="false" outlineLevel="0" collapsed="false">
      <c r="A34" s="8" t="s">
        <v>40</v>
      </c>
    </row>
    <row r="35" customFormat="false" ht="15" hidden="false" customHeight="false" outlineLevel="0" collapsed="false">
      <c r="A35" s="8" t="s">
        <v>41</v>
      </c>
    </row>
    <row r="36" customFormat="false" ht="15" hidden="false" customHeight="false" outlineLevel="0" collapsed="false">
      <c r="A36" s="12" t="s">
        <v>42</v>
      </c>
      <c r="B36" s="12" t="n">
        <v>2400000</v>
      </c>
    </row>
    <row r="37" customFormat="false" ht="15" hidden="false" customHeight="false" outlineLevel="0" collapsed="false">
      <c r="A37" s="12" t="s">
        <v>43</v>
      </c>
      <c r="B37" s="12" t="n">
        <v>380000</v>
      </c>
    </row>
    <row r="38" customFormat="false" ht="15" hidden="false" customHeight="false" outlineLevel="0" collapsed="false">
      <c r="A38" s="12" t="s">
        <v>44</v>
      </c>
      <c r="B38" s="12" t="n">
        <v>120000</v>
      </c>
    </row>
    <row r="39" customFormat="false" ht="15" hidden="false" customHeight="false" outlineLevel="0" collapsed="false">
      <c r="A39" s="12" t="s">
        <v>45</v>
      </c>
      <c r="B39" s="12" t="n">
        <v>1600</v>
      </c>
    </row>
    <row r="40" customFormat="false" ht="15" hidden="false" customHeight="false" outlineLevel="0" collapsed="false">
      <c r="A40" s="12" t="s">
        <v>46</v>
      </c>
      <c r="B40" s="12" t="n">
        <v>45</v>
      </c>
    </row>
    <row r="41" customFormat="false" ht="15" hidden="false" customHeight="false" outlineLevel="0" collapsed="false">
      <c r="A41" s="12" t="s">
        <v>12</v>
      </c>
      <c r="B41" s="13" t="n">
        <f aca="false">B37+B38+B39*B40</f>
        <v>572000</v>
      </c>
    </row>
    <row r="42" customFormat="false" ht="15" hidden="false" customHeight="false" outlineLevel="0" collapsed="false">
      <c r="A42" s="12" t="s">
        <v>15</v>
      </c>
      <c r="B42" s="14" t="n">
        <f aca="false">B36/B41</f>
        <v>4.1958041958042</v>
      </c>
    </row>
    <row r="43" customFormat="false" ht="15" hidden="false" customHeight="false" outlineLevel="0" collapsed="false">
      <c r="A43" s="12" t="s">
        <v>9</v>
      </c>
      <c r="B43" s="15" t="n">
        <f aca="false">(B41*5-B36)/B36</f>
        <v>0.191666666666667</v>
      </c>
    </row>
    <row r="45" customFormat="false" ht="15" hidden="false" customHeight="false" outlineLevel="0" collapsed="false">
      <c r="A45" s="8" t="s">
        <v>47</v>
      </c>
    </row>
    <row r="46" customFormat="false" ht="15" hidden="false" customHeight="false" outlineLevel="0" collapsed="false">
      <c r="A46" s="12" t="s">
        <v>42</v>
      </c>
      <c r="B46" s="12" t="n">
        <v>800000</v>
      </c>
    </row>
    <row r="47" customFormat="false" ht="15" hidden="false" customHeight="false" outlineLevel="0" collapsed="false">
      <c r="A47" s="12" t="s">
        <v>48</v>
      </c>
      <c r="B47" s="12" t="n">
        <v>210000</v>
      </c>
    </row>
    <row r="48" customFormat="false" ht="15" hidden="false" customHeight="false" outlineLevel="0" collapsed="false">
      <c r="A48" s="12" t="s">
        <v>49</v>
      </c>
      <c r="B48" s="12" t="n">
        <v>95000</v>
      </c>
    </row>
    <row r="49" customFormat="false" ht="15" hidden="false" customHeight="false" outlineLevel="0" collapsed="false">
      <c r="A49" s="12" t="s">
        <v>45</v>
      </c>
      <c r="B49" s="12" t="n">
        <v>400</v>
      </c>
    </row>
    <row r="50" customFormat="false" ht="15" hidden="false" customHeight="false" outlineLevel="0" collapsed="false">
      <c r="A50" s="12" t="s">
        <v>46</v>
      </c>
      <c r="B50" s="12" t="n">
        <v>45</v>
      </c>
    </row>
    <row r="51" customFormat="false" ht="15" hidden="false" customHeight="false" outlineLevel="0" collapsed="false">
      <c r="A51" s="12" t="s">
        <v>12</v>
      </c>
      <c r="B51" s="13" t="n">
        <f aca="false">B47+B48+B49*B50</f>
        <v>323000</v>
      </c>
    </row>
    <row r="52" customFormat="false" ht="15" hidden="false" customHeight="false" outlineLevel="0" collapsed="false">
      <c r="A52" s="12" t="s">
        <v>15</v>
      </c>
      <c r="B52" s="14" t="n">
        <f aca="false">B46/B51</f>
        <v>2.47678018575851</v>
      </c>
    </row>
    <row r="53" customFormat="false" ht="15" hidden="false" customHeight="false" outlineLevel="0" collapsed="false">
      <c r="A53" s="12" t="s">
        <v>9</v>
      </c>
      <c r="B53" s="15" t="n">
        <f aca="false">(B51*5-B46)/B46</f>
        <v>1.01875</v>
      </c>
    </row>
    <row r="55" customFormat="false" ht="15" hidden="false" customHeight="false" outlineLevel="0" collapsed="false">
      <c r="A55" s="8" t="s">
        <v>50</v>
      </c>
    </row>
    <row r="56" customFormat="false" ht="15" hidden="false" customHeight="false" outlineLevel="0" collapsed="false">
      <c r="A56" s="8" t="s">
        <v>51</v>
      </c>
      <c r="B56" s="8" t="s">
        <v>52</v>
      </c>
      <c r="C56" s="8" t="s">
        <v>53</v>
      </c>
    </row>
    <row r="57" customFormat="false" ht="15" hidden="false" customHeight="false" outlineLevel="0" collapsed="false">
      <c r="A57" s="12" t="s">
        <v>54</v>
      </c>
    </row>
    <row r="58" customFormat="false" ht="15" hidden="false" customHeight="false" outlineLevel="0" collapsed="false">
      <c r="A58" s="12" t="s">
        <v>55</v>
      </c>
    </row>
    <row r="59" customFormat="false" ht="15" hidden="false" customHeight="false" outlineLevel="0" collapsed="false">
      <c r="A59" s="12" t="s">
        <v>56</v>
      </c>
    </row>
    <row r="60" customFormat="false" ht="15" hidden="false" customHeight="false" outlineLevel="0" collapsed="false">
      <c r="A60" s="12" t="s">
        <v>57</v>
      </c>
    </row>
    <row r="62" customFormat="false" ht="15" hidden="false" customHeight="false" outlineLevel="0" collapsed="false">
      <c r="A62" s="8" t="s">
        <v>58</v>
      </c>
      <c r="C62" s="11" t="s">
        <v>59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customFormat="false" ht="15" hidden="false" customHeight="false" outlineLevel="0" collapsed="false">
      <c r="A63" s="8" t="s">
        <v>60</v>
      </c>
      <c r="F63" s="12" t="s">
        <v>61</v>
      </c>
    </row>
    <row r="64" customFormat="false" ht="15" hidden="false" customHeight="false" outlineLevel="0" collapsed="false">
      <c r="A64" s="8" t="s">
        <v>62</v>
      </c>
      <c r="F64" s="12" t="s">
        <v>63</v>
      </c>
    </row>
    <row r="65" customFormat="false" ht="15" hidden="false" customHeight="false" outlineLevel="0" collapsed="false">
      <c r="A65" s="8" t="s">
        <v>64</v>
      </c>
      <c r="F65" s="12" t="s">
        <v>65</v>
      </c>
    </row>
    <row r="66" customFormat="false" ht="15" hidden="false" customHeight="false" outlineLevel="0" collapsed="false">
      <c r="A66" s="8" t="s">
        <v>66</v>
      </c>
      <c r="F66" s="12" t="s">
        <v>67</v>
      </c>
    </row>
    <row r="67" customFormat="false" ht="15" hidden="false" customHeight="false" outlineLevel="0" collapsed="false">
      <c r="A67" s="8" t="s">
        <v>68</v>
      </c>
      <c r="F67" s="12" t="s">
        <v>69</v>
      </c>
    </row>
    <row r="68" customFormat="false" ht="15" hidden="false" customHeight="false" outlineLevel="0" collapsed="false">
      <c r="A68" s="8" t="s">
        <v>70</v>
      </c>
      <c r="F68" s="12" t="s">
        <v>71</v>
      </c>
    </row>
  </sheetData>
  <mergeCells count="18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12:M12"/>
    <mergeCell ref="C20:M20"/>
    <mergeCell ref="C62:M6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2026-07-08T19:17:40Z</dcterms:created>
  <dc:creator>openpyxl</dc:creator>
  <dc:description/>
  <dc:language>en-US</dc:language>
  <cp:lastModifiedBy/>
  <dcterms:modified xsi:type="dcterms:W3CDTF">2026-07-08T19:17:40Z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