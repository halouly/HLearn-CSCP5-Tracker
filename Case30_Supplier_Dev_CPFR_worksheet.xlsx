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30 - Supplier Dev CPFR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<sst xmlns="http://schemas.openxmlformats.org/spreadsheetml/2006/main" count="98" uniqueCount="42">
  <si>
    <t xml:space="preserve">CASE 30: SUPPLIER DEVELOPMENT &amp; CPFR — COLLABORATION ROI</t>
  </si>
  <si>
    <t xml:space="preserve">Calculation Worksheet</t>
  </si>
  <si>
    <t xml:space="preserve">SCENARIO: Decide whether to fund a supplier development program and a CPFR collaboration by comparing each cost against its quantified benefit. [CSCP VI.B.2.b]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</si>
  <si>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</si>
  <si>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</si>
  <si>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</si>
  <si>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Justify a supplier-development program and CPFR collaboration.</t>
  </si>
  <si>
    <t xml:space="preserve">Self-check targets.</t>
  </si>
  <si>
    <t xml:space="preserve">Your task: Compute development ROI and CPFR inventory savings, then decide.</t>
  </si>
  <si>
    <t xml:space="preserve">COMBINED ANNUAL NET BENEFIT</t>
  </si>
  <si>
    <t xml:space="preserve">Approach: Net benefit = quantified savings − program cost; fund when net benefit is positive.</t>
  </si>
  <si>
    <t xml:space="preserve">PART A — SUPPLIER DEVELOPMENT</t>
  </si>
  <si>
    <t xml:space="preserve">Time: ~25 min   •   Fill the shaded input cells, then check the ANSWER KEY sheet only after you finish.</t>
  </si>
  <si>
    <t xml:space="preserve">Annual Volume (units)</t>
  </si>
  <si>
    <t xml:space="preserve">Current Defect Rate</t>
  </si>
  <si>
    <t xml:space="preserve">Target Defect Rate</t>
  </si>
  <si>
    <t xml:space="preserve">Cost per Defect</t>
  </si>
  <si>
    <t xml:space="preserve">$</t>
  </si>
  <si>
    <t xml:space="preserve">Program Cost / yr</t>
  </si>
  <si>
    <t xml:space="preserve">Current Defect Cost</t>
  </si>
  <si>
    <t xml:space="preserve">New Defect Cost</t>
  </si>
  <si>
    <t xml:space="preserve">Gross Savings</t>
  </si>
  <si>
    <t xml:space="preserve">Net Benefit</t>
  </si>
  <si>
    <t xml:space="preserve">ROI</t>
  </si>
  <si>
    <t xml:space="preserve">PART B — CPFR COLLABORATION</t>
  </si>
  <si>
    <t xml:space="preserve">Safety Stock Before (units)</t>
  </si>
  <si>
    <t xml:space="preserve">Safety Stock After (units)</t>
  </si>
  <si>
    <t xml:space="preserve">Holding Cost / unit / yr</t>
  </si>
  <si>
    <t xml:space="preserve">CPFR Platform Cost / yr</t>
  </si>
  <si>
    <t xml:space="preserve">Inventory Savings</t>
  </si>
  <si>
    <t xml:space="preserve">Net CPFR Benefit</t>
  </si>
  <si>
    <t xml:space="preserve">EXAM-STYLE QUESTIONS:</t>
  </si>
  <si>
    <t xml:space="preserve">Answer using the results you computed above.</t>
  </si>
  <si>
    <t xml:space="preserve">Q1: What is the current annual defect cost?</t>
  </si>
  <si>
    <t xml:space="preserve">Answer:</t>
  </si>
  <si>
    <t xml:space="preserve">Q2: What is the net benefit and ROI of the development program?</t>
  </si>
  <si>
    <t xml:space="preserve">Q3: Should you fund the development program? Why?</t>
  </si>
  <si>
    <t xml:space="preserve">Q4: What are the CPFR inventory savings and net benefit?</t>
  </si>
  <si>
    <t xml:space="preserve">Q5: What is the combined annual net benefit of both initiatives?</t>
  </si>
  <si>
    <t xml:space="preserve">Q6: At what defect rate (down from 4%) does the development program break even?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</si>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</sst>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7" min="7" style="0" width="12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4" t="s">
        <v>6</v>
      </c>
      <c r="J7" s="4"/>
      <c r="K7" s="4"/>
      <c r="L7" s="4"/>
      <c r="N7" s="5" t="s">
        <v>7</v>
      </c>
      <c r="O7" s="5"/>
      <c r="P7" s="5"/>
    </row>
    <row r="8" customFormat="false" ht="23.85" hidden="false" customHeight="true" outlineLevel="0" collapsed="false">
      <c r="I8" s="4" t="s">
        <v>8</v>
      </c>
      <c r="J8" s="4"/>
      <c r="K8" s="4"/>
      <c r="L8" s="4"/>
      <c r="N8" s="6" t="s">
        <v>9</v>
      </c>
      <c r="O8" s="6"/>
      <c r="P8" s="7" t="n">
        <v>35000</v>
      </c>
    </row>
    <row r="9" customFormat="false" ht="23.85" hidden="false" customHeight="true" outlineLevel="0" collapsed="false">
      <c r="I9" s="4" t="s">
        <v>10</v>
      </c>
      <c r="J9" s="4"/>
      <c r="K9" s="4"/>
      <c r="L9" s="4"/>
    </row>
    <row r="10" customFormat="false" ht="23.85" hidden="false" customHeight="true" outlineLevel="0" collapsed="false">
      <c r="A10" s="8" t="s">
        <v>11</v>
      </c>
      <c r="I10" s="4" t="s">
        <v>12</v>
      </c>
      <c r="J10" s="4"/>
      <c r="K10" s="4"/>
      <c r="L10" s="4"/>
    </row>
    <row r="11" customFormat="false" ht="15" hidden="false" customHeight="false" outlineLevel="0" collapsed="false">
      <c r="A11" s="9" t="s">
        <v>13</v>
      </c>
      <c r="B11" s="10" t="n">
        <v>100000</v>
      </c>
    </row>
    <row r="12" customFormat="false" ht="15" hidden="false" customHeight="false" outlineLevel="0" collapsed="false">
      <c r="A12" s="9" t="s">
        <v>14</v>
      </c>
      <c r="B12" s="11" t="n">
        <v>0.04</v>
      </c>
    </row>
    <row r="13" customFormat="false" ht="15" hidden="false" customHeight="false" outlineLevel="0" collapsed="false">
      <c r="A13" s="9" t="s">
        <v>15</v>
      </c>
      <c r="B13" s="11" t="n">
        <v>0.01</v>
      </c>
    </row>
    <row r="14" customFormat="false" ht="15" hidden="false" customHeight="false" outlineLevel="0" collapsed="false">
      <c r="A14" s="9" t="s">
        <v>16</v>
      </c>
      <c r="B14" s="12" t="n">
        <v>50</v>
      </c>
      <c r="C14" s="9" t="s">
        <v>17</v>
      </c>
    </row>
    <row r="15" customFormat="false" ht="15" hidden="false" customHeight="false" outlineLevel="0" collapsed="false">
      <c r="A15" s="9" t="s">
        <v>18</v>
      </c>
      <c r="B15" s="12" t="n">
        <v>120000</v>
      </c>
      <c r="C15" s="9" t="s">
        <v>17</v>
      </c>
    </row>
    <row r="17" customFormat="false" ht="15" hidden="false" customHeight="false" outlineLevel="0" collapsed="false">
      <c r="A17" s="9" t="s">
        <v>19</v>
      </c>
      <c r="B17" s="13"/>
    </row>
    <row r="18" customFormat="false" ht="15" hidden="false" customHeight="false" outlineLevel="0" collapsed="false">
      <c r="A18" s="9" t="s">
        <v>20</v>
      </c>
      <c r="B18" s="13"/>
    </row>
    <row r="19" customFormat="false" ht="15" hidden="false" customHeight="false" outlineLevel="0" collapsed="false">
      <c r="A19" s="9" t="s">
        <v>21</v>
      </c>
      <c r="B19" s="13"/>
    </row>
    <row r="20" customFormat="false" ht="15" hidden="false" customHeight="false" outlineLevel="0" collapsed="false">
      <c r="A20" s="9" t="s">
        <v>22</v>
      </c>
      <c r="B20" s="13"/>
    </row>
    <row r="21" customFormat="false" ht="15" hidden="false" customHeight="false" outlineLevel="0" collapsed="false">
      <c r="A21" s="9" t="s">
        <v>23</v>
      </c>
      <c r="B21" s="14"/>
    </row>
    <row r="24" customFormat="false" ht="15" hidden="false" customHeight="false" outlineLevel="0" collapsed="false">
      <c r="A24" s="8" t="s">
        <v>24</v>
      </c>
    </row>
    <row r="25" customFormat="false" ht="15" hidden="false" customHeight="false" outlineLevel="0" collapsed="false">
      <c r="A25" s="9" t="s">
        <v>25</v>
      </c>
      <c r="B25" s="10" t="n">
        <v>8000</v>
      </c>
    </row>
    <row r="26" customFormat="false" ht="15" hidden="false" customHeight="false" outlineLevel="0" collapsed="false">
      <c r="A26" s="9" t="s">
        <v>26</v>
      </c>
      <c r="B26" s="10" t="n">
        <v>3000</v>
      </c>
    </row>
    <row r="27" customFormat="false" ht="15" hidden="false" customHeight="false" outlineLevel="0" collapsed="false">
      <c r="A27" s="9" t="s">
        <v>27</v>
      </c>
      <c r="B27" s="12" t="n">
        <v>4</v>
      </c>
      <c r="C27" s="9" t="s">
        <v>17</v>
      </c>
    </row>
    <row r="28" customFormat="false" ht="15" hidden="false" customHeight="false" outlineLevel="0" collapsed="false">
      <c r="A28" s="9" t="s">
        <v>28</v>
      </c>
      <c r="B28" s="12" t="n">
        <v>15000</v>
      </c>
      <c r="C28" s="9" t="s">
        <v>17</v>
      </c>
    </row>
    <row r="30" customFormat="false" ht="15" hidden="false" customHeight="false" outlineLevel="0" collapsed="false">
      <c r="A30" s="9" t="s">
        <v>29</v>
      </c>
      <c r="B30" s="13"/>
    </row>
    <row r="31" customFormat="false" ht="15" hidden="false" customHeight="false" outlineLevel="0" collapsed="false">
      <c r="A31" s="9" t="s">
        <v>30</v>
      </c>
      <c r="B31" s="13"/>
    </row>
    <row r="33" customFormat="false" ht="15" hidden="false" customHeight="false" outlineLevel="0" collapsed="false">
      <c r="A33" s="8" t="s">
        <v>9</v>
      </c>
      <c r="B33" s="15"/>
    </row>
    <row r="36" customFormat="false" ht="15" hidden="false" customHeight="false" outlineLevel="0" collapsed="false">
      <c r="A36" s="8" t="s">
        <v>31</v>
      </c>
      <c r="C36" s="16" t="s">
        <v>32</v>
      </c>
      <c r="D36" s="16"/>
      <c r="E36" s="16"/>
      <c r="F36" s="16"/>
      <c r="G36" s="16"/>
      <c r="H36" s="16"/>
      <c r="I36" s="16"/>
      <c r="J36" s="16"/>
      <c r="K36" s="16"/>
      <c r="L36" s="16"/>
    </row>
    <row r="38" customFormat="false" ht="15" hidden="false" customHeight="false" outlineLevel="0" collapsed="false">
      <c r="A38" s="9" t="s">
        <v>33</v>
      </c>
      <c r="G38" s="8" t="s">
        <v>34</v>
      </c>
    </row>
    <row r="39" customFormat="false" ht="15" hidden="false" customHeight="false" outlineLevel="0" collapsed="false">
      <c r="A39" s="9" t="s">
        <v>35</v>
      </c>
      <c r="G39" s="8" t="s">
        <v>34</v>
      </c>
    </row>
    <row r="40" customFormat="false" ht="15" hidden="false" customHeight="false" outlineLevel="0" collapsed="false">
      <c r="A40" s="9" t="s">
        <v>36</v>
      </c>
      <c r="G40" s="8" t="s">
        <v>34</v>
      </c>
    </row>
    <row r="41" customFormat="false" ht="15" hidden="false" customHeight="false" outlineLevel="0" collapsed="false">
      <c r="A41" s="9" t="s">
        <v>37</v>
      </c>
      <c r="G41" s="8" t="s">
        <v>34</v>
      </c>
    </row>
    <row r="42" customFormat="false" ht="15" hidden="false" customHeight="false" outlineLevel="0" collapsed="false">
      <c r="A42" s="9" t="s">
        <v>38</v>
      </c>
      <c r="G42" s="8" t="s">
        <v>34</v>
      </c>
    </row>
    <row r="43" customFormat="false" ht="15" hidden="false" customHeight="false" outlineLevel="0" collapsed="false">
      <c r="A43" s="9" t="s">
        <v>39</v>
      </c>
      <c r="G43" s="8" t="s">
        <v>34</v>
      </c>
    </row>
  </sheetData>
  <mergeCells count="13">
    <mergeCell ref="A1:L1"/>
    <mergeCell ref="A2:L2"/>
    <mergeCell ref="A3:L3"/>
    <mergeCell ref="A4:L4"/>
    <mergeCell ref="I6:L6"/>
    <mergeCell ref="N6:P6"/>
    <mergeCell ref="I7:L7"/>
    <mergeCell ref="N7:P7"/>
    <mergeCell ref="I8:L8"/>
    <mergeCell ref="N8:O8"/>
    <mergeCell ref="I9:L9"/>
    <mergeCell ref="I10:L10"/>
    <mergeCell ref="C36:L3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7" min="7" style="0" width="12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4" t="s">
        <v>6</v>
      </c>
      <c r="J7" s="4"/>
      <c r="K7" s="4"/>
      <c r="L7" s="4"/>
      <c r="N7" s="5" t="s">
        <v>7</v>
      </c>
      <c r="O7" s="5"/>
      <c r="P7" s="5"/>
    </row>
    <row r="8" customFormat="false" ht="23.85" hidden="false" customHeight="true" outlineLevel="0" collapsed="false">
      <c r="I8" s="4" t="s">
        <v>8</v>
      </c>
      <c r="J8" s="4"/>
      <c r="K8" s="4"/>
      <c r="L8" s="4"/>
      <c r="N8" s="6" t="s">
        <v>9</v>
      </c>
      <c r="O8" s="6"/>
      <c r="P8" s="7" t="n">
        <v>35000</v>
      </c>
    </row>
    <row r="9" customFormat="false" ht="23.85" hidden="false" customHeight="true" outlineLevel="0" collapsed="false">
      <c r="I9" s="4" t="s">
        <v>10</v>
      </c>
      <c r="J9" s="4"/>
      <c r="K9" s="4"/>
      <c r="L9" s="4"/>
    </row>
    <row r="10" customFormat="false" ht="23.85" hidden="false" customHeight="true" outlineLevel="0" collapsed="false">
      <c r="A10" s="8" t="s">
        <v>11</v>
      </c>
      <c r="I10" s="4" t="s">
        <v>12</v>
      </c>
      <c r="J10" s="4"/>
      <c r="K10" s="4"/>
      <c r="L10" s="4"/>
    </row>
    <row r="11" customFormat="false" ht="15" hidden="false" customHeight="false" outlineLevel="0" collapsed="false">
      <c r="A11" s="9" t="s">
        <v>13</v>
      </c>
      <c r="B11" s="10" t="n">
        <v>100000</v>
      </c>
    </row>
    <row r="12" customFormat="false" ht="15" hidden="false" customHeight="false" outlineLevel="0" collapsed="false">
      <c r="A12" s="9" t="s">
        <v>14</v>
      </c>
      <c r="B12" s="11" t="n">
        <v>0.04</v>
      </c>
    </row>
    <row r="13" customFormat="false" ht="15" hidden="false" customHeight="false" outlineLevel="0" collapsed="false">
      <c r="A13" s="9" t="s">
        <v>15</v>
      </c>
      <c r="B13" s="11" t="n">
        <v>0.01</v>
      </c>
    </row>
    <row r="14" customFormat="false" ht="15" hidden="false" customHeight="false" outlineLevel="0" collapsed="false">
      <c r="A14" s="9" t="s">
        <v>16</v>
      </c>
      <c r="B14" s="12" t="n">
        <v>50</v>
      </c>
      <c r="C14" s="9" t="s">
        <v>17</v>
      </c>
    </row>
    <row r="15" customFormat="false" ht="15" hidden="false" customHeight="false" outlineLevel="0" collapsed="false">
      <c r="A15" s="9" t="s">
        <v>18</v>
      </c>
      <c r="B15" s="12" t="n">
        <v>120000</v>
      </c>
      <c r="C15" s="9" t="s">
        <v>17</v>
      </c>
    </row>
    <row r="17" customFormat="false" ht="15" hidden="false" customHeight="false" outlineLevel="0" collapsed="false">
      <c r="A17" s="9" t="s">
        <v>19</v>
      </c>
      <c r="B17" s="13" t="n">
        <f aca="false">B11*B12*B14</f>
        <v>200000</v>
      </c>
    </row>
    <row r="18" customFormat="false" ht="15" hidden="false" customHeight="false" outlineLevel="0" collapsed="false">
      <c r="A18" s="9" t="s">
        <v>20</v>
      </c>
      <c r="B18" s="13" t="n">
        <f aca="false">B11*B13*B14</f>
        <v>50000</v>
      </c>
    </row>
    <row r="19" customFormat="false" ht="15" hidden="false" customHeight="false" outlineLevel="0" collapsed="false">
      <c r="A19" s="9" t="s">
        <v>21</v>
      </c>
      <c r="B19" s="13" t="n">
        <f aca="false">B17-B18</f>
        <v>150000</v>
      </c>
    </row>
    <row r="20" customFormat="false" ht="15" hidden="false" customHeight="false" outlineLevel="0" collapsed="false">
      <c r="A20" s="9" t="s">
        <v>22</v>
      </c>
      <c r="B20" s="13" t="n">
        <f aca="false">B19-B15</f>
        <v>30000</v>
      </c>
    </row>
    <row r="21" customFormat="false" ht="15" hidden="false" customHeight="false" outlineLevel="0" collapsed="false">
      <c r="A21" s="9" t="s">
        <v>23</v>
      </c>
      <c r="B21" s="14" t="n">
        <f aca="false">B20/B15</f>
        <v>0.25</v>
      </c>
    </row>
    <row r="24" customFormat="false" ht="15" hidden="false" customHeight="false" outlineLevel="0" collapsed="false">
      <c r="A24" s="8" t="s">
        <v>24</v>
      </c>
    </row>
    <row r="25" customFormat="false" ht="15" hidden="false" customHeight="false" outlineLevel="0" collapsed="false">
      <c r="A25" s="9" t="s">
        <v>25</v>
      </c>
      <c r="B25" s="10" t="n">
        <v>8000</v>
      </c>
    </row>
    <row r="26" customFormat="false" ht="15" hidden="false" customHeight="false" outlineLevel="0" collapsed="false">
      <c r="A26" s="9" t="s">
        <v>26</v>
      </c>
      <c r="B26" s="10" t="n">
        <v>3000</v>
      </c>
    </row>
    <row r="27" customFormat="false" ht="15" hidden="false" customHeight="false" outlineLevel="0" collapsed="false">
      <c r="A27" s="9" t="s">
        <v>27</v>
      </c>
      <c r="B27" s="12" t="n">
        <v>4</v>
      </c>
      <c r="C27" s="9" t="s">
        <v>17</v>
      </c>
    </row>
    <row r="28" customFormat="false" ht="15" hidden="false" customHeight="false" outlineLevel="0" collapsed="false">
      <c r="A28" s="9" t="s">
        <v>28</v>
      </c>
      <c r="B28" s="12" t="n">
        <v>15000</v>
      </c>
      <c r="C28" s="9" t="s">
        <v>17</v>
      </c>
    </row>
    <row r="30" customFormat="false" ht="15" hidden="false" customHeight="false" outlineLevel="0" collapsed="false">
      <c r="A30" s="9" t="s">
        <v>29</v>
      </c>
      <c r="B30" s="13" t="n">
        <f aca="false">(B25-B26)*B27</f>
        <v>20000</v>
      </c>
    </row>
    <row r="31" customFormat="false" ht="15" hidden="false" customHeight="false" outlineLevel="0" collapsed="false">
      <c r="A31" s="9" t="s">
        <v>30</v>
      </c>
      <c r="B31" s="13" t="n">
        <f aca="false">B30-B28</f>
        <v>5000</v>
      </c>
    </row>
    <row r="33" customFormat="false" ht="15" hidden="false" customHeight="false" outlineLevel="0" collapsed="false">
      <c r="A33" s="8" t="s">
        <v>9</v>
      </c>
      <c r="B33" s="15" t="n">
        <f aca="false">B20+B31</f>
        <v>35000</v>
      </c>
    </row>
    <row r="36" customFormat="false" ht="15" hidden="false" customHeight="false" outlineLevel="0" collapsed="false">
      <c r="A36" s="8" t="s">
        <v>31</v>
      </c>
      <c r="C36" s="16" t="s">
        <v>32</v>
      </c>
      <c r="D36" s="16"/>
      <c r="E36" s="16"/>
      <c r="F36" s="16"/>
      <c r="G36" s="16"/>
      <c r="H36" s="16"/>
      <c r="I36" s="16"/>
      <c r="J36" s="16"/>
      <c r="K36" s="16"/>
      <c r="L36" s="16"/>
    </row>
    <row r="38" customFormat="false" ht="15" hidden="false" customHeight="false" outlineLevel="0" collapsed="false">
      <c r="A38" s="9" t="s">
        <v>33</v>
      </c>
      <c r="G38" s="8" t="s">
        <v>34</v>
      </c>
    </row>
    <row r="39" customFormat="false" ht="15" hidden="false" customHeight="false" outlineLevel="0" collapsed="false">
      <c r="A39" s="9" t="s">
        <v>35</v>
      </c>
      <c r="G39" s="8" t="s">
        <v>34</v>
      </c>
    </row>
    <row r="40" customFormat="false" ht="15" hidden="false" customHeight="false" outlineLevel="0" collapsed="false">
      <c r="A40" s="9" t="s">
        <v>36</v>
      </c>
      <c r="G40" s="8" t="s">
        <v>34</v>
      </c>
    </row>
    <row r="41" customFormat="false" ht="15" hidden="false" customHeight="false" outlineLevel="0" collapsed="false">
      <c r="A41" s="9" t="s">
        <v>37</v>
      </c>
      <c r="G41" s="8" t="s">
        <v>34</v>
      </c>
    </row>
    <row r="42" customFormat="false" ht="15" hidden="false" customHeight="false" outlineLevel="0" collapsed="false">
      <c r="A42" s="9" t="s">
        <v>38</v>
      </c>
      <c r="G42" s="8" t="s">
        <v>34</v>
      </c>
    </row>
    <row r="43" customFormat="false" ht="15" hidden="false" customHeight="false" outlineLevel="0" collapsed="false">
      <c r="A43" s="9" t="s">
        <v>39</v>
      </c>
      <c r="G43" s="8" t="s">
        <v>34</v>
      </c>
    </row>
  </sheetData>
  <mergeCells count="13">
    <mergeCell ref="A1:L1"/>
    <mergeCell ref="A2:L2"/>
    <mergeCell ref="A3:L3"/>
    <mergeCell ref="A4:L4"/>
    <mergeCell ref="I6:L6"/>
    <mergeCell ref="N6:P6"/>
    <mergeCell ref="I7:L7"/>
    <mergeCell ref="N7:P7"/>
    <mergeCell ref="I8:L8"/>
    <mergeCell ref="N8:O8"/>
    <mergeCell ref="I9:L9"/>
    <mergeCell ref="I10:L10"/>
    <mergeCell ref="C36:L3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2026-07-08T19:17:40Z</dcterms:created>
  <dc:creator>openpyxl</dc:creator>
  <dc:description/>
  <dc:language>en-US</dc:language>
  <cp:lastModifiedBy/>
  <dcterms:modified xsi:type="dcterms:W3CDTF">2026-07-08T19:17:40Z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