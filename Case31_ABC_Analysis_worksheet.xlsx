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31 - ABC Analysis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<sst xmlns="http://schemas.openxmlformats.org/spreadsheetml/2006/main" count="121" uniqueCount="60">
  <si>
    <t xml:space="preserve">CASE 31: ABC ANALYSIS — INVENTORY CLASSIFICATION BY ANNUAL DOLLAR USAGE</t>
  </si>
  <si>
    <t xml:space="preserve">Calculation Worksheet</t>
  </si>
  <si>
    <t xml:space="preserve">SCENARIO: A distribution center stocks 10 SKUs. Classify them into A/B/C categories by annual dollar usage so control effort can be prioritized (Pareto's 80/20 principle applied to inventory).</t>
  </si>
  <si>
    <t xml:space="preserve">HOW TO USE: Blue cells are given. Compute Annual $ Usage, then the running cumulative and % columns, then classify. A ≤ 80% of value, B ≤ 95%, C = remainder. SKUs are pre-sorted highest→lowest $ usage.</t>
  </si>
  <si>
    <t xml:space="preserve">SKU</t>
  </si>
  <si>
    <t xml:space="preserve">Annual Demand</t>
  </si>
  <si>
    <t xml:space="preserve">Unit Cost ($)</t>
  </si>
  <si>
    <t xml:space="preserve">Annual $ Usage</t>
  </si>
  <si>
    <t xml:space="preserve">% of Total</t>
  </si>
  <si>
    <t xml:space="preserve">Cumulative $</t>
  </si>
  <si>
    <t xml:space="preserve">Cumulative %</t>
  </si>
  <si>
    <t xml:space="preserve">Class</t>
  </si>
  <si>
    <t xml:space="preserve">CHECK FIGURES</t>
  </si>
  <si>
    <t xml:space="preserve">SKU-101</t>
  </si>
  <si>
    <t xml:space="preserve">Self-check targets.</t>
  </si>
  <si>
    <t xml:space="preserve">SKU-102</t>
  </si>
  <si>
    <t xml:space="preserve">Total annual $ usage</t>
  </si>
  <si>
    <t xml:space="preserve">$242,300</t>
  </si>
  <si>
    <t xml:space="preserve">SKU-103</t>
  </si>
  <si>
    <t xml:space="preserve">Class A SKUs</t>
  </si>
  <si>
    <t xml:space="preserve">2 (SKU-101, 102)</t>
  </si>
  <si>
    <t xml:space="preserve">SKU-104</t>
  </si>
  <si>
    <t xml:space="preserve">A share of value</t>
  </si>
  <si>
    <t xml:space="preserve">71.0%</t>
  </si>
  <si>
    <t xml:space="preserve">SKU-105</t>
  </si>
  <si>
    <t xml:space="preserve">Class B SKUs</t>
  </si>
  <si>
    <t xml:space="preserve">3</t>
  </si>
  <si>
    <t xml:space="preserve">SKU-106</t>
  </si>
  <si>
    <t xml:space="preserve">Class C SKUs</t>
  </si>
  <si>
    <t xml:space="preserve">5</t>
  </si>
  <si>
    <t xml:space="preserve">SKU-107</t>
  </si>
  <si>
    <t xml:space="preserve">C share of value</t>
  </si>
  <si>
    <t xml:space="preserve">~5%</t>
  </si>
  <si>
    <t xml:space="preserve">SKU-108</t>
  </si>
  <si>
    <t xml:space="preserve">SKU-109</t>
  </si>
  <si>
    <t xml:space="preserve">SKU-110</t>
  </si>
  <si>
    <t xml:space="preserve">TOTAL</t>
  </si>
  <si>
    <t xml:space="preserve">CLASS SUMMARY</t>
  </si>
  <si>
    <t xml:space="preserve">Count SKUs per class, their share of items and of dollar value.</t>
  </si>
  <si>
    <t xml:space="preserve"># SKUs</t>
  </si>
  <si>
    <t xml:space="preserve">% of SKUs</t>
  </si>
  <si>
    <t xml:space="preserve">$ Value</t>
  </si>
  <si>
    <t xml:space="preserve">% of $ Value</t>
  </si>
  <si>
    <t xml:space="preserve">A</t>
  </si>
  <si>
    <t xml:space="preserve">B</t>
  </si>
  <si>
    <t xml:space="preserve">C</t>
  </si>
  <si>
    <t xml:space="preserve">EXAM-STYLE QUESTIONS</t>
  </si>
  <si>
    <t xml:space="preserve">Q1: Which SKUs are Class A, and what % of total value do they represent?</t>
  </si>
  <si>
    <t xml:space="preserve">Answer:</t>
  </si>
  <si>
    <t xml:space="preserve">Q2: What inventory-control policy fits Class A vs Class C items?</t>
  </si>
  <si>
    <t xml:space="preserve">Q3: Does this inventory follow the 80/20 rule?</t>
  </si>
  <si>
    <t xml:space="preserve">Q4: SKU-104 has the highest demand (5,000 units) — why isn't it Class A?</t>
  </si>
  <si>
    <t xml:space="preserve">Q5: How should cycle-counting frequency differ by class?</t>
  </si>
  <si>
    <t xml:space="preserve">Solution Key</t>
  </si>
  <si>
    <t xml:space="preserve">SOLUTION: green cells show worked answers; blue cells are the given inputs.</t>
  </si>
  <si>
    <t xml:space="preserve">SKU-101 &amp; SKU-102 — 71.0% of annual dollar usage (20% of SKUs).</t>
  </si>
  <si>
    <t xml:space="preserve">A: tight control, frequent cycle counts, low safety stock, close forecasting. C: loose control, bulk orders, larger safety stock, infrequent counts.</t>
  </si>
  <si>
    <t xml:space="preserve">Roughly — 20% of SKUs (A) hold 71% of value; the vital few dominate. Not exactly 80/20 but the same principle.</t>
  </si>
  <si>
    <t xml:space="preserve">Low unit cost ($2) → only $10,000 annual usage. ABC ranks by dollar volume, not unit volume.</t>
  </si>
  <si>
    <t xml:space="preserve">A counted most often (e.g., monthly), B periodically (e.g., quarterly), C rarely (e.g., annually).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</si>
</sst>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DBEAFE"/>
        <bgColor rgb="FFCCFFFF"/>
      </patternFill>
    </fill>
    <fill>
      <patternFill patternType="solid">
        <fgColor rgb="FFF0FDF4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2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2" min="12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</row>
    <row r="3" customFormat="false" ht="27.7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6" customFormat="false" ht="15" hidden="false" customHeight="false" outlineLevel="0" collapsed="false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J6" s="1" t="s">
        <v>12</v>
      </c>
      <c r="K6" s="1"/>
      <c r="L6" s="1"/>
    </row>
    <row r="7" customFormat="false" ht="15" hidden="false" customHeight="false" outlineLevel="0" collapsed="false">
      <c r="A7" s="4" t="s">
        <v>13</v>
      </c>
      <c r="B7" s="5" t="n">
        <v>2500</v>
      </c>
      <c r="C7" s="6" t="n">
        <v>40</v>
      </c>
      <c r="D7" s="7"/>
      <c r="E7" s="8"/>
      <c r="F7" s="7"/>
      <c r="G7" s="8"/>
      <c r="H7" s="9"/>
      <c r="J7" s="10" t="s">
        <v>14</v>
      </c>
      <c r="K7" s="10"/>
      <c r="L7" s="10"/>
    </row>
    <row r="8" customFormat="false" ht="15" hidden="false" customHeight="false" outlineLevel="0" collapsed="false">
      <c r="A8" s="4" t="s">
        <v>15</v>
      </c>
      <c r="B8" s="5" t="n">
        <v>1200</v>
      </c>
      <c r="C8" s="6" t="n">
        <v>60</v>
      </c>
      <c r="D8" s="7"/>
      <c r="E8" s="8"/>
      <c r="F8" s="7"/>
      <c r="G8" s="8"/>
      <c r="H8" s="9"/>
      <c r="J8" s="11" t="s">
        <v>16</v>
      </c>
      <c r="K8" s="11"/>
      <c r="L8" s="12" t="s">
        <v>17</v>
      </c>
    </row>
    <row r="9" customFormat="false" ht="15" hidden="false" customHeight="false" outlineLevel="0" collapsed="false">
      <c r="A9" s="4" t="s">
        <v>18</v>
      </c>
      <c r="B9" s="5" t="n">
        <v>800</v>
      </c>
      <c r="C9" s="6" t="n">
        <v>50</v>
      </c>
      <c r="D9" s="7"/>
      <c r="E9" s="8"/>
      <c r="F9" s="7"/>
      <c r="G9" s="8"/>
      <c r="H9" s="9"/>
      <c r="J9" s="11" t="s">
        <v>19</v>
      </c>
      <c r="K9" s="11"/>
      <c r="L9" s="12" t="s">
        <v>20</v>
      </c>
    </row>
    <row r="10" customFormat="false" ht="15" hidden="false" customHeight="false" outlineLevel="0" collapsed="false">
      <c r="A10" s="4" t="s">
        <v>21</v>
      </c>
      <c r="B10" s="5" t="n">
        <v>5000</v>
      </c>
      <c r="C10" s="6" t="n">
        <v>2</v>
      </c>
      <c r="D10" s="7"/>
      <c r="E10" s="8"/>
      <c r="F10" s="7"/>
      <c r="G10" s="8"/>
      <c r="H10" s="9"/>
      <c r="J10" s="11" t="s">
        <v>22</v>
      </c>
      <c r="K10" s="11"/>
      <c r="L10" s="12" t="s">
        <v>23</v>
      </c>
    </row>
    <row r="11" customFormat="false" ht="15" hidden="false" customHeight="false" outlineLevel="0" collapsed="false">
      <c r="A11" s="4" t="s">
        <v>24</v>
      </c>
      <c r="B11" s="5" t="n">
        <v>1000</v>
      </c>
      <c r="C11" s="6" t="n">
        <v>8</v>
      </c>
      <c r="D11" s="7"/>
      <c r="E11" s="8"/>
      <c r="F11" s="7"/>
      <c r="G11" s="8"/>
      <c r="H11" s="9"/>
      <c r="J11" s="11" t="s">
        <v>25</v>
      </c>
      <c r="K11" s="11"/>
      <c r="L11" s="12" t="s">
        <v>26</v>
      </c>
    </row>
    <row r="12" customFormat="false" ht="15" hidden="false" customHeight="false" outlineLevel="0" collapsed="false">
      <c r="A12" s="4" t="s">
        <v>27</v>
      </c>
      <c r="B12" s="5" t="n">
        <v>600</v>
      </c>
      <c r="C12" s="6" t="n">
        <v>10</v>
      </c>
      <c r="D12" s="7"/>
      <c r="E12" s="8"/>
      <c r="F12" s="7"/>
      <c r="G12" s="8"/>
      <c r="H12" s="9"/>
      <c r="J12" s="11" t="s">
        <v>28</v>
      </c>
      <c r="K12" s="11"/>
      <c r="L12" s="12" t="s">
        <v>29</v>
      </c>
    </row>
    <row r="13" customFormat="false" ht="15" hidden="false" customHeight="false" outlineLevel="0" collapsed="false">
      <c r="A13" s="4" t="s">
        <v>30</v>
      </c>
      <c r="B13" s="5" t="n">
        <v>3000</v>
      </c>
      <c r="C13" s="6" t="n">
        <v>1</v>
      </c>
      <c r="D13" s="7"/>
      <c r="E13" s="8"/>
      <c r="F13" s="7"/>
      <c r="G13" s="8"/>
      <c r="H13" s="9"/>
      <c r="J13" s="11" t="s">
        <v>31</v>
      </c>
      <c r="K13" s="11"/>
      <c r="L13" s="12" t="s">
        <v>32</v>
      </c>
    </row>
    <row r="14" customFormat="false" ht="15" hidden="false" customHeight="false" outlineLevel="0" collapsed="false">
      <c r="A14" s="4" t="s">
        <v>33</v>
      </c>
      <c r="B14" s="5" t="n">
        <v>400</v>
      </c>
      <c r="C14" s="6" t="n">
        <v>5</v>
      </c>
      <c r="D14" s="7"/>
      <c r="E14" s="8"/>
      <c r="F14" s="7"/>
      <c r="G14" s="8"/>
      <c r="H14" s="9"/>
    </row>
    <row r="15" customFormat="false" ht="15" hidden="false" customHeight="false" outlineLevel="0" collapsed="false">
      <c r="A15" s="4" t="s">
        <v>34</v>
      </c>
      <c r="B15" s="5" t="n">
        <v>200</v>
      </c>
      <c r="C15" s="6" t="n">
        <v>4</v>
      </c>
      <c r="D15" s="7"/>
      <c r="E15" s="8"/>
      <c r="F15" s="7"/>
      <c r="G15" s="8"/>
      <c r="H15" s="9"/>
    </row>
    <row r="16" customFormat="false" ht="15" hidden="false" customHeight="false" outlineLevel="0" collapsed="false">
      <c r="A16" s="4" t="s">
        <v>35</v>
      </c>
      <c r="B16" s="5" t="n">
        <v>1000</v>
      </c>
      <c r="C16" s="6" t="n">
        <v>0.5</v>
      </c>
      <c r="D16" s="7"/>
      <c r="E16" s="8"/>
      <c r="F16" s="7"/>
      <c r="G16" s="8"/>
      <c r="H16" s="9"/>
    </row>
    <row r="17" customFormat="false" ht="15" hidden="false" customHeight="false" outlineLevel="0" collapsed="false">
      <c r="A17" s="12" t="s">
        <v>36</v>
      </c>
      <c r="D17" s="13"/>
    </row>
    <row r="19" customFormat="false" ht="15" hidden="false" customHeight="false" outlineLevel="0" collapsed="false">
      <c r="A19" s="14" t="s">
        <v>37</v>
      </c>
      <c r="C19" s="10" t="s">
        <v>38</v>
      </c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1" t="s">
        <v>11</v>
      </c>
      <c r="B20" s="1" t="s">
        <v>39</v>
      </c>
      <c r="C20" s="1" t="s">
        <v>40</v>
      </c>
      <c r="D20" s="1" t="s">
        <v>41</v>
      </c>
      <c r="E20" s="1" t="s">
        <v>42</v>
      </c>
    </row>
    <row r="21" customFormat="false" ht="15" hidden="false" customHeight="false" outlineLevel="0" collapsed="false">
      <c r="A21" s="15" t="s">
        <v>43</v>
      </c>
      <c r="B21" s="7"/>
      <c r="C21" s="8"/>
      <c r="D21" s="7"/>
      <c r="E21" s="8"/>
    </row>
    <row r="22" customFormat="false" ht="15" hidden="false" customHeight="false" outlineLevel="0" collapsed="false">
      <c r="A22" s="15" t="s">
        <v>44</v>
      </c>
      <c r="B22" s="7"/>
      <c r="C22" s="8"/>
      <c r="D22" s="7"/>
      <c r="E22" s="8"/>
    </row>
    <row r="23" customFormat="false" ht="15" hidden="false" customHeight="false" outlineLevel="0" collapsed="false">
      <c r="A23" s="15" t="s">
        <v>45</v>
      </c>
      <c r="B23" s="7"/>
      <c r="C23" s="8"/>
      <c r="D23" s="7"/>
      <c r="E23" s="8"/>
    </row>
    <row r="25" customFormat="false" ht="15" hidden="false" customHeight="false" outlineLevel="0" collapsed="false">
      <c r="A25" s="14" t="s">
        <v>46</v>
      </c>
    </row>
    <row r="26" customFormat="false" ht="15" hidden="false" customHeight="false" outlineLevel="0" collapsed="false">
      <c r="A26" s="16" t="s">
        <v>47</v>
      </c>
      <c r="B26" s="16"/>
      <c r="C26" s="16"/>
      <c r="D26" s="16"/>
      <c r="E26" s="12" t="s">
        <v>48</v>
      </c>
      <c r="F26" s="17"/>
      <c r="G26" s="17"/>
      <c r="H26" s="17"/>
    </row>
    <row r="27" customFormat="false" ht="15" hidden="false" customHeight="false" outlineLevel="0" collapsed="false">
      <c r="A27" s="16" t="s">
        <v>49</v>
      </c>
      <c r="B27" s="16"/>
      <c r="C27" s="16"/>
      <c r="D27" s="16"/>
      <c r="E27" s="12" t="s">
        <v>48</v>
      </c>
      <c r="F27" s="17"/>
      <c r="G27" s="17"/>
      <c r="H27" s="17"/>
    </row>
    <row r="28" customFormat="false" ht="15" hidden="false" customHeight="false" outlineLevel="0" collapsed="false">
      <c r="A28" s="16" t="s">
        <v>50</v>
      </c>
      <c r="B28" s="16"/>
      <c r="C28" s="16"/>
      <c r="D28" s="16"/>
      <c r="E28" s="12" t="s">
        <v>48</v>
      </c>
      <c r="F28" s="17"/>
      <c r="G28" s="17"/>
      <c r="H28" s="17"/>
    </row>
    <row r="29" customFormat="false" ht="15" hidden="false" customHeight="false" outlineLevel="0" collapsed="false">
      <c r="A29" s="16" t="s">
        <v>51</v>
      </c>
      <c r="B29" s="16"/>
      <c r="C29" s="16"/>
      <c r="D29" s="16"/>
      <c r="E29" s="12" t="s">
        <v>48</v>
      </c>
      <c r="F29" s="17"/>
      <c r="G29" s="17"/>
      <c r="H29" s="17"/>
    </row>
    <row r="30" customFormat="false" ht="15" hidden="false" customHeight="false" outlineLevel="0" collapsed="false">
      <c r="A30" s="16" t="s">
        <v>52</v>
      </c>
      <c r="B30" s="16"/>
      <c r="C30" s="16"/>
      <c r="D30" s="16"/>
      <c r="E30" s="12" t="s">
        <v>48</v>
      </c>
      <c r="F30" s="17"/>
      <c r="G30" s="17"/>
      <c r="H30" s="17"/>
    </row>
  </sheetData>
  <mergeCells count="23">
    <mergeCell ref="A1:H1"/>
    <mergeCell ref="A2:H2"/>
    <mergeCell ref="A3:H3"/>
    <mergeCell ref="A4:H4"/>
    <mergeCell ref="J6:L6"/>
    <mergeCell ref="J7:L7"/>
    <mergeCell ref="J8:K8"/>
    <mergeCell ref="J9:K9"/>
    <mergeCell ref="J10:K10"/>
    <mergeCell ref="J11:K11"/>
    <mergeCell ref="J12:K12"/>
    <mergeCell ref="J13:K13"/>
    <mergeCell ref="C19:H19"/>
    <mergeCell ref="A26:D26"/>
    <mergeCell ref="F26:H26"/>
    <mergeCell ref="A27:D27"/>
    <mergeCell ref="F27:H27"/>
    <mergeCell ref="A28:D28"/>
    <mergeCell ref="F28:H28"/>
    <mergeCell ref="A29:D29"/>
    <mergeCell ref="F29:H29"/>
    <mergeCell ref="A30:D30"/>
    <mergeCell ref="F30:H30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2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2" min="12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 t="s">
        <v>53</v>
      </c>
      <c r="B2" s="1"/>
      <c r="C2" s="1"/>
      <c r="D2" s="1"/>
      <c r="E2" s="1"/>
      <c r="F2" s="1"/>
      <c r="G2" s="1"/>
      <c r="H2" s="1"/>
    </row>
    <row r="3" customFormat="false" ht="27.7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54</v>
      </c>
      <c r="B4" s="3"/>
      <c r="C4" s="3"/>
      <c r="D4" s="3"/>
      <c r="E4" s="3"/>
      <c r="F4" s="3"/>
      <c r="G4" s="3"/>
      <c r="H4" s="3"/>
    </row>
    <row r="6" customFormat="false" ht="15" hidden="false" customHeight="false" outlineLevel="0" collapsed="false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J6" s="1" t="s">
        <v>12</v>
      </c>
      <c r="K6" s="1"/>
      <c r="L6" s="1"/>
    </row>
    <row r="7" customFormat="false" ht="15" hidden="false" customHeight="false" outlineLevel="0" collapsed="false">
      <c r="A7" s="4" t="s">
        <v>13</v>
      </c>
      <c r="B7" s="5" t="n">
        <v>2500</v>
      </c>
      <c r="C7" s="6" t="n">
        <v>40</v>
      </c>
      <c r="D7" s="7" t="n">
        <f aca="false">B7*C7</f>
        <v>100000</v>
      </c>
      <c r="E7" s="8" t="n">
        <f aca="false">D7/$D$17</f>
        <v>0.412711514651259</v>
      </c>
      <c r="F7" s="7" t="n">
        <f aca="false">D7</f>
        <v>100000</v>
      </c>
      <c r="G7" s="8" t="n">
        <f aca="false">F7/$D$17</f>
        <v>0.412711514651259</v>
      </c>
      <c r="H7" s="9" t="str">
        <f aca="false">IF(G7&lt;=0.8,"A",IF(G7&lt;=0.95,"B","C"))</f>
        <v>A</v>
      </c>
      <c r="J7" s="10" t="s">
        <v>14</v>
      </c>
      <c r="K7" s="10"/>
      <c r="L7" s="10"/>
    </row>
    <row r="8" customFormat="false" ht="15" hidden="false" customHeight="false" outlineLevel="0" collapsed="false">
      <c r="A8" s="4" t="s">
        <v>15</v>
      </c>
      <c r="B8" s="5" t="n">
        <v>1200</v>
      </c>
      <c r="C8" s="6" t="n">
        <v>60</v>
      </c>
      <c r="D8" s="7" t="n">
        <f aca="false">B8*C8</f>
        <v>72000</v>
      </c>
      <c r="E8" s="8" t="n">
        <f aca="false">D8/$D$17</f>
        <v>0.297152290548906</v>
      </c>
      <c r="F8" s="7" t="n">
        <f aca="false">F7+D8</f>
        <v>172000</v>
      </c>
      <c r="G8" s="8" t="n">
        <f aca="false">F8/$D$17</f>
        <v>0.709863805200165</v>
      </c>
      <c r="H8" s="9" t="str">
        <f aca="false">IF(G8&lt;=0.8,"A",IF(G8&lt;=0.95,"B","C"))</f>
        <v>A</v>
      </c>
      <c r="J8" s="11" t="s">
        <v>16</v>
      </c>
      <c r="K8" s="11"/>
      <c r="L8" s="12" t="s">
        <v>17</v>
      </c>
    </row>
    <row r="9" customFormat="false" ht="15" hidden="false" customHeight="false" outlineLevel="0" collapsed="false">
      <c r="A9" s="4" t="s">
        <v>18</v>
      </c>
      <c r="B9" s="5" t="n">
        <v>800</v>
      </c>
      <c r="C9" s="6" t="n">
        <v>50</v>
      </c>
      <c r="D9" s="7" t="n">
        <f aca="false">B9*C9</f>
        <v>40000</v>
      </c>
      <c r="E9" s="8" t="n">
        <f aca="false">D9/$D$17</f>
        <v>0.165084605860504</v>
      </c>
      <c r="F9" s="7" t="n">
        <f aca="false">F8+D9</f>
        <v>212000</v>
      </c>
      <c r="G9" s="8" t="n">
        <f aca="false">F9/$D$17</f>
        <v>0.874948411060669</v>
      </c>
      <c r="H9" s="9" t="str">
        <f aca="false">IF(G9&lt;=0.8,"A",IF(G9&lt;=0.95,"B","C"))</f>
        <v>B</v>
      </c>
      <c r="J9" s="11" t="s">
        <v>19</v>
      </c>
      <c r="K9" s="11"/>
      <c r="L9" s="12" t="s">
        <v>20</v>
      </c>
    </row>
    <row r="10" customFormat="false" ht="15" hidden="false" customHeight="false" outlineLevel="0" collapsed="false">
      <c r="A10" s="4" t="s">
        <v>21</v>
      </c>
      <c r="B10" s="5" t="n">
        <v>5000</v>
      </c>
      <c r="C10" s="6" t="n">
        <v>2</v>
      </c>
      <c r="D10" s="7" t="n">
        <f aca="false">B10*C10</f>
        <v>10000</v>
      </c>
      <c r="E10" s="8" t="n">
        <f aca="false">D10/$D$17</f>
        <v>0.0412711514651259</v>
      </c>
      <c r="F10" s="7" t="n">
        <f aca="false">F9+D10</f>
        <v>222000</v>
      </c>
      <c r="G10" s="8" t="n">
        <f aca="false">F10/$D$17</f>
        <v>0.916219562525795</v>
      </c>
      <c r="H10" s="9" t="str">
        <f aca="false">IF(G10&lt;=0.8,"A",IF(G10&lt;=0.95,"B","C"))</f>
        <v>B</v>
      </c>
      <c r="J10" s="11" t="s">
        <v>22</v>
      </c>
      <c r="K10" s="11"/>
      <c r="L10" s="12" t="s">
        <v>23</v>
      </c>
    </row>
    <row r="11" customFormat="false" ht="15" hidden="false" customHeight="false" outlineLevel="0" collapsed="false">
      <c r="A11" s="4" t="s">
        <v>24</v>
      </c>
      <c r="B11" s="5" t="n">
        <v>1000</v>
      </c>
      <c r="C11" s="6" t="n">
        <v>8</v>
      </c>
      <c r="D11" s="7" t="n">
        <f aca="false">B11*C11</f>
        <v>8000</v>
      </c>
      <c r="E11" s="8" t="n">
        <f aca="false">D11/$D$17</f>
        <v>0.0330169211721007</v>
      </c>
      <c r="F11" s="7" t="n">
        <f aca="false">F10+D11</f>
        <v>230000</v>
      </c>
      <c r="G11" s="8" t="n">
        <f aca="false">F11/$D$17</f>
        <v>0.949236483697895</v>
      </c>
      <c r="H11" s="9" t="str">
        <f aca="false">IF(G11&lt;=0.8,"A",IF(G11&lt;=0.95,"B","C"))</f>
        <v>B</v>
      </c>
      <c r="J11" s="11" t="s">
        <v>25</v>
      </c>
      <c r="K11" s="11"/>
      <c r="L11" s="12" t="s">
        <v>26</v>
      </c>
    </row>
    <row r="12" customFormat="false" ht="15" hidden="false" customHeight="false" outlineLevel="0" collapsed="false">
      <c r="A12" s="4" t="s">
        <v>27</v>
      </c>
      <c r="B12" s="5" t="n">
        <v>600</v>
      </c>
      <c r="C12" s="6" t="n">
        <v>10</v>
      </c>
      <c r="D12" s="7" t="n">
        <f aca="false">B12*C12</f>
        <v>6000</v>
      </c>
      <c r="E12" s="8" t="n">
        <f aca="false">D12/$D$17</f>
        <v>0.0247626908790755</v>
      </c>
      <c r="F12" s="7" t="n">
        <f aca="false">F11+D12</f>
        <v>236000</v>
      </c>
      <c r="G12" s="8" t="n">
        <f aca="false">F12/$D$17</f>
        <v>0.973999174576971</v>
      </c>
      <c r="H12" s="9" t="str">
        <f aca="false">IF(G12&lt;=0.8,"A",IF(G12&lt;=0.95,"B","C"))</f>
        <v>C</v>
      </c>
      <c r="J12" s="11" t="s">
        <v>28</v>
      </c>
      <c r="K12" s="11"/>
      <c r="L12" s="12" t="s">
        <v>29</v>
      </c>
    </row>
    <row r="13" customFormat="false" ht="15" hidden="false" customHeight="false" outlineLevel="0" collapsed="false">
      <c r="A13" s="4" t="s">
        <v>30</v>
      </c>
      <c r="B13" s="5" t="n">
        <v>3000</v>
      </c>
      <c r="C13" s="6" t="n">
        <v>1</v>
      </c>
      <c r="D13" s="7" t="n">
        <f aca="false">B13*C13</f>
        <v>3000</v>
      </c>
      <c r="E13" s="8" t="n">
        <f aca="false">D13/$D$17</f>
        <v>0.0123813454395378</v>
      </c>
      <c r="F13" s="7" t="n">
        <f aca="false">F12+D13</f>
        <v>239000</v>
      </c>
      <c r="G13" s="8" t="n">
        <f aca="false">F13/$D$17</f>
        <v>0.986380520016508</v>
      </c>
      <c r="H13" s="9" t="str">
        <f aca="false">IF(G13&lt;=0.8,"A",IF(G13&lt;=0.95,"B","C"))</f>
        <v>C</v>
      </c>
      <c r="J13" s="11" t="s">
        <v>31</v>
      </c>
      <c r="K13" s="11"/>
      <c r="L13" s="12" t="s">
        <v>32</v>
      </c>
    </row>
    <row r="14" customFormat="false" ht="15" hidden="false" customHeight="false" outlineLevel="0" collapsed="false">
      <c r="A14" s="4" t="s">
        <v>33</v>
      </c>
      <c r="B14" s="5" t="n">
        <v>400</v>
      </c>
      <c r="C14" s="6" t="n">
        <v>5</v>
      </c>
      <c r="D14" s="7" t="n">
        <f aca="false">B14*C14</f>
        <v>2000</v>
      </c>
      <c r="E14" s="8" t="n">
        <f aca="false">D14/$D$17</f>
        <v>0.00825423029302518</v>
      </c>
      <c r="F14" s="7" t="n">
        <f aca="false">F13+D14</f>
        <v>241000</v>
      </c>
      <c r="G14" s="8" t="n">
        <f aca="false">F14/$D$17</f>
        <v>0.994634750309534</v>
      </c>
      <c r="H14" s="9" t="str">
        <f aca="false">IF(G14&lt;=0.8,"A",IF(G14&lt;=0.95,"B","C"))</f>
        <v>C</v>
      </c>
    </row>
    <row r="15" customFormat="false" ht="15" hidden="false" customHeight="false" outlineLevel="0" collapsed="false">
      <c r="A15" s="4" t="s">
        <v>34</v>
      </c>
      <c r="B15" s="5" t="n">
        <v>200</v>
      </c>
      <c r="C15" s="6" t="n">
        <v>4</v>
      </c>
      <c r="D15" s="7" t="n">
        <f aca="false">B15*C15</f>
        <v>800</v>
      </c>
      <c r="E15" s="8" t="n">
        <f aca="false">D15/$D$17</f>
        <v>0.00330169211721007</v>
      </c>
      <c r="F15" s="7" t="n">
        <f aca="false">F14+D15</f>
        <v>241800</v>
      </c>
      <c r="G15" s="8" t="n">
        <f aca="false">F15/$D$17</f>
        <v>0.997936442426744</v>
      </c>
      <c r="H15" s="9" t="str">
        <f aca="false">IF(G15&lt;=0.8,"A",IF(G15&lt;=0.95,"B","C"))</f>
        <v>C</v>
      </c>
    </row>
    <row r="16" customFormat="false" ht="15" hidden="false" customHeight="false" outlineLevel="0" collapsed="false">
      <c r="A16" s="4" t="s">
        <v>35</v>
      </c>
      <c r="B16" s="5" t="n">
        <v>1000</v>
      </c>
      <c r="C16" s="6" t="n">
        <v>0.5</v>
      </c>
      <c r="D16" s="7" t="n">
        <f aca="false">B16*C16</f>
        <v>500</v>
      </c>
      <c r="E16" s="8" t="n">
        <f aca="false">D16/$D$17</f>
        <v>0.00206355757325629</v>
      </c>
      <c r="F16" s="7" t="n">
        <f aca="false">F15+D16</f>
        <v>242300</v>
      </c>
      <c r="G16" s="8" t="n">
        <f aca="false">F16/$D$17</f>
        <v>1</v>
      </c>
      <c r="H16" s="9" t="str">
        <f aca="false">IF(G16&lt;=0.8,"A",IF(G16&lt;=0.95,"B","C"))</f>
        <v>C</v>
      </c>
    </row>
    <row r="17" customFormat="false" ht="15" hidden="false" customHeight="false" outlineLevel="0" collapsed="false">
      <c r="A17" s="12" t="s">
        <v>36</v>
      </c>
      <c r="D17" s="13" t="n">
        <f aca="false">SUM(D7:D16)</f>
        <v>242300</v>
      </c>
    </row>
    <row r="19" customFormat="false" ht="15" hidden="false" customHeight="false" outlineLevel="0" collapsed="false">
      <c r="A19" s="14" t="s">
        <v>37</v>
      </c>
      <c r="C19" s="10" t="s">
        <v>38</v>
      </c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1" t="s">
        <v>11</v>
      </c>
      <c r="B20" s="1" t="s">
        <v>39</v>
      </c>
      <c r="C20" s="1" t="s">
        <v>40</v>
      </c>
      <c r="D20" s="1" t="s">
        <v>41</v>
      </c>
      <c r="E20" s="1" t="s">
        <v>42</v>
      </c>
    </row>
    <row r="21" customFormat="false" ht="15" hidden="false" customHeight="false" outlineLevel="0" collapsed="false">
      <c r="A21" s="15" t="s">
        <v>43</v>
      </c>
      <c r="B21" s="7" t="n">
        <f aca="false">COUNTIF($H$7:$H$16,"A")</f>
        <v>2</v>
      </c>
      <c r="C21" s="8" t="n">
        <f aca="false">B21/10</f>
        <v>0.2</v>
      </c>
      <c r="D21" s="7" t="n">
        <f aca="false">SUMIF($H$7:$H$16,"A",$D$7:$D$16)</f>
        <v>172000</v>
      </c>
      <c r="E21" s="8" t="n">
        <f aca="false">D21/$D$17</f>
        <v>0.709863805200165</v>
      </c>
    </row>
    <row r="22" customFormat="false" ht="15" hidden="false" customHeight="false" outlineLevel="0" collapsed="false">
      <c r="A22" s="15" t="s">
        <v>44</v>
      </c>
      <c r="B22" s="7" t="n">
        <f aca="false">COUNTIF($H$7:$H$16,"B")</f>
        <v>3</v>
      </c>
      <c r="C22" s="8" t="n">
        <f aca="false">B22/10</f>
        <v>0.3</v>
      </c>
      <c r="D22" s="7" t="n">
        <f aca="false">SUMIF($H$7:$H$16,"B",$D$7:$D$16)</f>
        <v>58000</v>
      </c>
      <c r="E22" s="8" t="n">
        <f aca="false">D22/$D$17</f>
        <v>0.23937267849773</v>
      </c>
    </row>
    <row r="23" customFormat="false" ht="15" hidden="false" customHeight="false" outlineLevel="0" collapsed="false">
      <c r="A23" s="15" t="s">
        <v>45</v>
      </c>
      <c r="B23" s="7" t="n">
        <f aca="false">COUNTIF($H$7:$H$16,"C")</f>
        <v>5</v>
      </c>
      <c r="C23" s="8" t="n">
        <f aca="false">B23/10</f>
        <v>0.5</v>
      </c>
      <c r="D23" s="7" t="n">
        <f aca="false">SUMIF($H$7:$H$16,"C",$D$7:$D$16)</f>
        <v>12300</v>
      </c>
      <c r="E23" s="8" t="n">
        <f aca="false">D23/$D$17</f>
        <v>0.0507635163021048</v>
      </c>
    </row>
    <row r="25" customFormat="false" ht="15" hidden="false" customHeight="false" outlineLevel="0" collapsed="false">
      <c r="A25" s="14" t="s">
        <v>46</v>
      </c>
    </row>
    <row r="26" customFormat="false" ht="30" hidden="false" customHeight="true" outlineLevel="0" collapsed="false">
      <c r="A26" s="16" t="s">
        <v>47</v>
      </c>
      <c r="B26" s="16"/>
      <c r="C26" s="16"/>
      <c r="D26" s="16"/>
      <c r="E26" s="12" t="s">
        <v>48</v>
      </c>
      <c r="F26" s="18" t="s">
        <v>55</v>
      </c>
      <c r="G26" s="18"/>
      <c r="H26" s="18"/>
    </row>
    <row r="27" customFormat="false" ht="30" hidden="false" customHeight="true" outlineLevel="0" collapsed="false">
      <c r="A27" s="16" t="s">
        <v>49</v>
      </c>
      <c r="B27" s="16"/>
      <c r="C27" s="16"/>
      <c r="D27" s="16"/>
      <c r="E27" s="12" t="s">
        <v>48</v>
      </c>
      <c r="F27" s="18" t="s">
        <v>56</v>
      </c>
      <c r="G27" s="18"/>
      <c r="H27" s="18"/>
    </row>
    <row r="28" customFormat="false" ht="30" hidden="false" customHeight="true" outlineLevel="0" collapsed="false">
      <c r="A28" s="16" t="s">
        <v>50</v>
      </c>
      <c r="B28" s="16"/>
      <c r="C28" s="16"/>
      <c r="D28" s="16"/>
      <c r="E28" s="12" t="s">
        <v>48</v>
      </c>
      <c r="F28" s="18" t="s">
        <v>57</v>
      </c>
      <c r="G28" s="18"/>
      <c r="H28" s="18"/>
    </row>
    <row r="29" customFormat="false" ht="30" hidden="false" customHeight="true" outlineLevel="0" collapsed="false">
      <c r="A29" s="16" t="s">
        <v>51</v>
      </c>
      <c r="B29" s="16"/>
      <c r="C29" s="16"/>
      <c r="D29" s="16"/>
      <c r="E29" s="12" t="s">
        <v>48</v>
      </c>
      <c r="F29" s="18" t="s">
        <v>58</v>
      </c>
      <c r="G29" s="18"/>
      <c r="H29" s="18"/>
    </row>
    <row r="30" customFormat="false" ht="30" hidden="false" customHeight="true" outlineLevel="0" collapsed="false">
      <c r="A30" s="16" t="s">
        <v>52</v>
      </c>
      <c r="B30" s="16"/>
      <c r="C30" s="16"/>
      <c r="D30" s="16"/>
      <c r="E30" s="12" t="s">
        <v>48</v>
      </c>
      <c r="F30" s="18" t="s">
        <v>59</v>
      </c>
      <c r="G30" s="18"/>
      <c r="H30" s="18"/>
    </row>
  </sheetData>
  <mergeCells count="23">
    <mergeCell ref="A1:H1"/>
    <mergeCell ref="A2:H2"/>
    <mergeCell ref="A3:H3"/>
    <mergeCell ref="A4:H4"/>
    <mergeCell ref="J6:L6"/>
    <mergeCell ref="J7:L7"/>
    <mergeCell ref="J8:K8"/>
    <mergeCell ref="J9:K9"/>
    <mergeCell ref="J10:K10"/>
    <mergeCell ref="J11:K11"/>
    <mergeCell ref="J12:K12"/>
    <mergeCell ref="J13:K13"/>
    <mergeCell ref="C19:H19"/>
    <mergeCell ref="A26:D26"/>
    <mergeCell ref="F26:H26"/>
    <mergeCell ref="A27:D27"/>
    <mergeCell ref="F27:H27"/>
    <mergeCell ref="A28:D28"/>
    <mergeCell ref="F28:H28"/>
    <mergeCell ref="A29:D29"/>
    <mergeCell ref="F29:H29"/>
    <mergeCell ref="A30:D30"/>
    <mergeCell ref="F30:H30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2026-07-09T18:58:15Z</dcterms:created>
  <dc:creator>openpyxl</dc:creator>
  <dc:description/>
  <dc:language>en-US</dc:language>
  <cp:lastModifiedBy/>
  <dcterms:modified xsi:type="dcterms:W3CDTF">2026-07-09T18:58:15Z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