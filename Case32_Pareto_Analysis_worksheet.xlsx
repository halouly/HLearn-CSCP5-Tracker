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32 - Pareto Analysi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<sst xmlns="http://schemas.openxmlformats.org/spreadsheetml/2006/main" count="99" uniqueCount="50">
  <si>
    <t xml:space="preserve">CASE 32: PARETO ANALYSIS — VITAL-FEW DEFECT CAUSES (80/20)</t>
  </si>
  <si>
    <t xml:space="preserve">Calculation Worksheet</t>
  </si>
  <si>
    <t xml:space="preserve">SCENARIO: A quality team logged 1,000 defects last quarter across 8 root causes. Use Pareto analysis to isolate the 'vital few' causes driving ~80% of defects so improvement effort is focused where it matters.</t>
  </si>
  <si>
    <t xml:space="preserve">HOW TO USE: Blue cells are given (causes pre-sorted highest→lowest frequency). Compute % of total, cumulative frequency, and cumulative %, then flag each cause Vital Few (cum % ≤ 80%) or Useful Many.</t>
  </si>
  <si>
    <t xml:space="preserve">Defect Cause</t>
  </si>
  <si>
    <t xml:space="preserve">Frequency</t>
  </si>
  <si>
    <t xml:space="preserve">% of Total</t>
  </si>
  <si>
    <t xml:space="preserve">Cumulative Freq</t>
  </si>
  <si>
    <t xml:space="preserve">Cumulative %</t>
  </si>
  <si>
    <t xml:space="preserve">Classification</t>
  </si>
  <si>
    <t xml:space="preserve">CHECK FIGURES</t>
  </si>
  <si>
    <t xml:space="preserve">Surface scratches</t>
  </si>
  <si>
    <t xml:space="preserve">Self-check targets.</t>
  </si>
  <si>
    <t xml:space="preserve">Misalignment</t>
  </si>
  <si>
    <t xml:space="preserve">Total defects</t>
  </si>
  <si>
    <t xml:space="preserve">1,000</t>
  </si>
  <si>
    <t xml:space="preserve">Contamination</t>
  </si>
  <si>
    <t xml:space="preserve">Vital-few causes</t>
  </si>
  <si>
    <t xml:space="preserve">3</t>
  </si>
  <si>
    <t xml:space="preserve">Wrong dimensions</t>
  </si>
  <si>
    <t xml:space="preserve">Top-3 cumulative %</t>
  </si>
  <si>
    <t xml:space="preserve">78.0%</t>
  </si>
  <si>
    <t xml:space="preserve">Cracks</t>
  </si>
  <si>
    <t xml:space="preserve">Top cause share</t>
  </si>
  <si>
    <t xml:space="preserve">42.0% (scratches)</t>
  </si>
  <si>
    <t xml:space="preserve">Discoloration</t>
  </si>
  <si>
    <t xml:space="preserve">Cause crossing 80% line</t>
  </si>
  <si>
    <t xml:space="preserve">Wrong dimensions (87%)</t>
  </si>
  <si>
    <t xml:space="preserve">Burrs</t>
  </si>
  <si>
    <t xml:space="preserve">Other</t>
  </si>
  <si>
    <t xml:space="preserve">TOTAL</t>
  </si>
  <si>
    <t xml:space="preserve">PARETO SUMMARY</t>
  </si>
  <si>
    <t xml:space="preserve">Vital-few causes (count)</t>
  </si>
  <si>
    <t xml:space="preserve">Vital-few defects</t>
  </si>
  <si>
    <t xml:space="preserve">Vital-few % of defects</t>
  </si>
  <si>
    <t xml:space="preserve">Vital-few % of causes</t>
  </si>
  <si>
    <t xml:space="preserve">EXAM-STYLE QUESTIONS</t>
  </si>
  <si>
    <t xml:space="preserve">Q1: Which causes are the 'vital few'?</t>
  </si>
  <si>
    <t xml:space="preserve">Answer:</t>
  </si>
  <si>
    <t xml:space="preserve">Q2: What % of defects would fixing the top 3 causes eliminate?</t>
  </si>
  <si>
    <t xml:space="preserve">Q3: State the Pareto principle in this context.</t>
  </si>
  <si>
    <t xml:space="preserve">Q4: Where should the improvement team focus first, and why?</t>
  </si>
  <si>
    <t xml:space="preserve">Q5: How does Pareto analysis relate to ABC classification?</t>
  </si>
  <si>
    <t xml:space="preserve">Solution Key</t>
  </si>
  <si>
    <t xml:space="preserve">SOLUTION: green cells show worked answers; blue cells are the given inputs.</t>
  </si>
  <si>
    <t xml:space="preserve">Surface scratches, misalignment, contamination — 3 causes = 78% of all defects.</t>
  </si>
  <si>
    <t xml:space="preserve">78% (780 of 1,000 defects).</t>
  </si>
  <si>
    <t xml:space="preserve">~80% of effects come from ~20% of causes: here 3 of 8 causes (37.5%) drive ~78% of defects.</t>
  </si>
  <si>
    <t xml:space="preserve">Surface scratches (42%) — the single largest cause; biggest defect reduction per unit of effort.</t>
  </si>
  <si>
    <t xml:space="preserve">Same 80/20 logic: 'vital few' causes ≈ Class A items — concentrate control where impact is greatest.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</si>
</sst>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0FDF4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2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</row>
    <row r="3" customFormat="false" ht="27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</row>
    <row r="6" customFormat="false" ht="15" hidden="false" customHeight="false" outlineLevel="0" collapsed="false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I6" s="1" t="s">
        <v>10</v>
      </c>
      <c r="J6" s="1"/>
      <c r="K6" s="1"/>
    </row>
    <row r="7" customFormat="false" ht="15" hidden="false" customHeight="false" outlineLevel="0" collapsed="false">
      <c r="A7" s="4" t="s">
        <v>11</v>
      </c>
      <c r="B7" s="5" t="n">
        <v>420</v>
      </c>
      <c r="C7" s="6"/>
      <c r="D7" s="7"/>
      <c r="E7" s="6"/>
      <c r="F7" s="8"/>
      <c r="I7" s="9" t="s">
        <v>12</v>
      </c>
      <c r="J7" s="9"/>
      <c r="K7" s="9"/>
    </row>
    <row r="8" customFormat="false" ht="15" hidden="false" customHeight="false" outlineLevel="0" collapsed="false">
      <c r="A8" s="4" t="s">
        <v>13</v>
      </c>
      <c r="B8" s="5" t="n">
        <v>210</v>
      </c>
      <c r="C8" s="6"/>
      <c r="D8" s="7"/>
      <c r="E8" s="6"/>
      <c r="F8" s="8"/>
      <c r="I8" s="10" t="s">
        <v>14</v>
      </c>
      <c r="J8" s="10"/>
      <c r="K8" s="11" t="s">
        <v>15</v>
      </c>
    </row>
    <row r="9" customFormat="false" ht="15" hidden="false" customHeight="false" outlineLevel="0" collapsed="false">
      <c r="A9" s="4" t="s">
        <v>16</v>
      </c>
      <c r="B9" s="5" t="n">
        <v>150</v>
      </c>
      <c r="C9" s="6"/>
      <c r="D9" s="7"/>
      <c r="E9" s="6"/>
      <c r="F9" s="8"/>
      <c r="I9" s="10" t="s">
        <v>17</v>
      </c>
      <c r="J9" s="10"/>
      <c r="K9" s="11" t="s">
        <v>18</v>
      </c>
    </row>
    <row r="10" customFormat="false" ht="15" hidden="false" customHeight="false" outlineLevel="0" collapsed="false">
      <c r="A10" s="4" t="s">
        <v>19</v>
      </c>
      <c r="B10" s="5" t="n">
        <v>90</v>
      </c>
      <c r="C10" s="6"/>
      <c r="D10" s="7"/>
      <c r="E10" s="6"/>
      <c r="F10" s="8"/>
      <c r="I10" s="10" t="s">
        <v>20</v>
      </c>
      <c r="J10" s="10"/>
      <c r="K10" s="11" t="s">
        <v>21</v>
      </c>
    </row>
    <row r="11" customFormat="false" ht="15" hidden="false" customHeight="false" outlineLevel="0" collapsed="false">
      <c r="A11" s="4" t="s">
        <v>22</v>
      </c>
      <c r="B11" s="5" t="n">
        <v>60</v>
      </c>
      <c r="C11" s="6"/>
      <c r="D11" s="7"/>
      <c r="E11" s="6"/>
      <c r="F11" s="8"/>
      <c r="I11" s="10" t="s">
        <v>23</v>
      </c>
      <c r="J11" s="10"/>
      <c r="K11" s="11" t="s">
        <v>24</v>
      </c>
    </row>
    <row r="12" customFormat="false" ht="15" hidden="false" customHeight="false" outlineLevel="0" collapsed="false">
      <c r="A12" s="4" t="s">
        <v>25</v>
      </c>
      <c r="B12" s="5" t="n">
        <v>30</v>
      </c>
      <c r="C12" s="6"/>
      <c r="D12" s="7"/>
      <c r="E12" s="6"/>
      <c r="F12" s="8"/>
      <c r="I12" s="10" t="s">
        <v>26</v>
      </c>
      <c r="J12" s="10"/>
      <c r="K12" s="11" t="s">
        <v>27</v>
      </c>
    </row>
    <row r="13" customFormat="false" ht="15" hidden="false" customHeight="false" outlineLevel="0" collapsed="false">
      <c r="A13" s="4" t="s">
        <v>28</v>
      </c>
      <c r="B13" s="5" t="n">
        <v>20</v>
      </c>
      <c r="C13" s="6"/>
      <c r="D13" s="7"/>
      <c r="E13" s="6"/>
      <c r="F13" s="8"/>
    </row>
    <row r="14" customFormat="false" ht="15" hidden="false" customHeight="false" outlineLevel="0" collapsed="false">
      <c r="A14" s="4" t="s">
        <v>29</v>
      </c>
      <c r="B14" s="5" t="n">
        <v>20</v>
      </c>
      <c r="C14" s="6"/>
      <c r="D14" s="7"/>
      <c r="E14" s="6"/>
      <c r="F14" s="8"/>
    </row>
    <row r="15" customFormat="false" ht="15" hidden="false" customHeight="false" outlineLevel="0" collapsed="false">
      <c r="A15" s="11" t="s">
        <v>30</v>
      </c>
      <c r="B15" s="12"/>
    </row>
    <row r="17" customFormat="false" ht="15" hidden="false" customHeight="false" outlineLevel="0" collapsed="false">
      <c r="A17" s="13" t="s">
        <v>31</v>
      </c>
    </row>
    <row r="18" customFormat="false" ht="15" hidden="false" customHeight="false" outlineLevel="0" collapsed="false">
      <c r="A18" s="10" t="s">
        <v>32</v>
      </c>
      <c r="B18" s="10"/>
      <c r="C18" s="7"/>
    </row>
    <row r="19" customFormat="false" ht="15" hidden="false" customHeight="false" outlineLevel="0" collapsed="false">
      <c r="A19" s="10" t="s">
        <v>33</v>
      </c>
      <c r="B19" s="10"/>
      <c r="C19" s="7"/>
    </row>
    <row r="20" customFormat="false" ht="15" hidden="false" customHeight="false" outlineLevel="0" collapsed="false">
      <c r="A20" s="10" t="s">
        <v>34</v>
      </c>
      <c r="B20" s="10"/>
      <c r="C20" s="6"/>
    </row>
    <row r="21" customFormat="false" ht="15" hidden="false" customHeight="false" outlineLevel="0" collapsed="false">
      <c r="A21" s="10" t="s">
        <v>35</v>
      </c>
      <c r="B21" s="10"/>
      <c r="C21" s="6"/>
    </row>
    <row r="23" customFormat="false" ht="15" hidden="false" customHeight="false" outlineLevel="0" collapsed="false">
      <c r="A23" s="13" t="s">
        <v>36</v>
      </c>
    </row>
    <row r="24" customFormat="false" ht="15" hidden="false" customHeight="false" outlineLevel="0" collapsed="false">
      <c r="A24" s="14" t="s">
        <v>37</v>
      </c>
      <c r="B24" s="14"/>
      <c r="C24" s="14"/>
      <c r="D24" s="11" t="s">
        <v>38</v>
      </c>
      <c r="E24" s="15"/>
      <c r="F24" s="15"/>
      <c r="G24" s="15"/>
    </row>
    <row r="25" customFormat="false" ht="15" hidden="false" customHeight="false" outlineLevel="0" collapsed="false">
      <c r="A25" s="14" t="s">
        <v>39</v>
      </c>
      <c r="B25" s="14"/>
      <c r="C25" s="14"/>
      <c r="D25" s="11" t="s">
        <v>38</v>
      </c>
      <c r="E25" s="15"/>
      <c r="F25" s="15"/>
      <c r="G25" s="15"/>
    </row>
    <row r="26" customFormat="false" ht="15" hidden="false" customHeight="false" outlineLevel="0" collapsed="false">
      <c r="A26" s="14" t="s">
        <v>40</v>
      </c>
      <c r="B26" s="14"/>
      <c r="C26" s="14"/>
      <c r="D26" s="11" t="s">
        <v>38</v>
      </c>
      <c r="E26" s="15"/>
      <c r="F26" s="15"/>
      <c r="G26" s="15"/>
    </row>
    <row r="27" customFormat="false" ht="15" hidden="false" customHeight="false" outlineLevel="0" collapsed="false">
      <c r="A27" s="14" t="s">
        <v>41</v>
      </c>
      <c r="B27" s="14"/>
      <c r="C27" s="14"/>
      <c r="D27" s="11" t="s">
        <v>38</v>
      </c>
      <c r="E27" s="15"/>
      <c r="F27" s="15"/>
      <c r="G27" s="15"/>
    </row>
    <row r="28" customFormat="false" ht="15" hidden="false" customHeight="false" outlineLevel="0" collapsed="false">
      <c r="A28" s="14" t="s">
        <v>42</v>
      </c>
      <c r="B28" s="14"/>
      <c r="C28" s="14"/>
      <c r="D28" s="11" t="s">
        <v>38</v>
      </c>
      <c r="E28" s="15"/>
      <c r="F28" s="15"/>
      <c r="G28" s="15"/>
    </row>
  </sheetData>
  <mergeCells count="25">
    <mergeCell ref="A1:G1"/>
    <mergeCell ref="A2:G2"/>
    <mergeCell ref="A3:G3"/>
    <mergeCell ref="A4:G4"/>
    <mergeCell ref="I6:K6"/>
    <mergeCell ref="I7:K7"/>
    <mergeCell ref="I8:J8"/>
    <mergeCell ref="I9:J9"/>
    <mergeCell ref="I10:J10"/>
    <mergeCell ref="I11:J11"/>
    <mergeCell ref="I12:J12"/>
    <mergeCell ref="A18:B18"/>
    <mergeCell ref="A19:B19"/>
    <mergeCell ref="A20:B20"/>
    <mergeCell ref="A21:B21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2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" t="s">
        <v>43</v>
      </c>
      <c r="B2" s="1"/>
      <c r="C2" s="1"/>
      <c r="D2" s="1"/>
      <c r="E2" s="1"/>
      <c r="F2" s="1"/>
      <c r="G2" s="1"/>
    </row>
    <row r="3" customFormat="false" ht="27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3" t="s">
        <v>44</v>
      </c>
      <c r="B4" s="3"/>
      <c r="C4" s="3"/>
      <c r="D4" s="3"/>
      <c r="E4" s="3"/>
      <c r="F4" s="3"/>
      <c r="G4" s="3"/>
    </row>
    <row r="6" customFormat="false" ht="15" hidden="false" customHeight="false" outlineLevel="0" collapsed="false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I6" s="1" t="s">
        <v>10</v>
      </c>
      <c r="J6" s="1"/>
      <c r="K6" s="1"/>
    </row>
    <row r="7" customFormat="false" ht="15" hidden="false" customHeight="false" outlineLevel="0" collapsed="false">
      <c r="A7" s="4" t="s">
        <v>11</v>
      </c>
      <c r="B7" s="5" t="n">
        <v>420</v>
      </c>
      <c r="C7" s="6" t="n">
        <f aca="false">B7/$B$15</f>
        <v>0.42</v>
      </c>
      <c r="D7" s="7" t="n">
        <f aca="false">B7</f>
        <v>420</v>
      </c>
      <c r="E7" s="6" t="n">
        <f aca="false">D7/$B$15</f>
        <v>0.42</v>
      </c>
      <c r="F7" s="8" t="str">
        <f aca="false">IF(E7&lt;=0.8,"Vital Few","Useful Many")</f>
        <v>Vital Few</v>
      </c>
      <c r="I7" s="9" t="s">
        <v>12</v>
      </c>
      <c r="J7" s="9"/>
      <c r="K7" s="9"/>
    </row>
    <row r="8" customFormat="false" ht="15" hidden="false" customHeight="false" outlineLevel="0" collapsed="false">
      <c r="A8" s="4" t="s">
        <v>13</v>
      </c>
      <c r="B8" s="5" t="n">
        <v>210</v>
      </c>
      <c r="C8" s="6" t="n">
        <f aca="false">B8/$B$15</f>
        <v>0.21</v>
      </c>
      <c r="D8" s="7" t="n">
        <f aca="false">D7+B8</f>
        <v>630</v>
      </c>
      <c r="E8" s="6" t="n">
        <f aca="false">D8/$B$15</f>
        <v>0.63</v>
      </c>
      <c r="F8" s="8" t="str">
        <f aca="false">IF(E8&lt;=0.8,"Vital Few","Useful Many")</f>
        <v>Vital Few</v>
      </c>
      <c r="I8" s="10" t="s">
        <v>14</v>
      </c>
      <c r="J8" s="10"/>
      <c r="K8" s="11" t="s">
        <v>15</v>
      </c>
    </row>
    <row r="9" customFormat="false" ht="15" hidden="false" customHeight="false" outlineLevel="0" collapsed="false">
      <c r="A9" s="4" t="s">
        <v>16</v>
      </c>
      <c r="B9" s="5" t="n">
        <v>150</v>
      </c>
      <c r="C9" s="6" t="n">
        <f aca="false">B9/$B$15</f>
        <v>0.15</v>
      </c>
      <c r="D9" s="7" t="n">
        <f aca="false">D8+B9</f>
        <v>780</v>
      </c>
      <c r="E9" s="6" t="n">
        <f aca="false">D9/$B$15</f>
        <v>0.78</v>
      </c>
      <c r="F9" s="8" t="str">
        <f aca="false">IF(E9&lt;=0.8,"Vital Few","Useful Many")</f>
        <v>Vital Few</v>
      </c>
      <c r="I9" s="10" t="s">
        <v>17</v>
      </c>
      <c r="J9" s="10"/>
      <c r="K9" s="11" t="s">
        <v>18</v>
      </c>
    </row>
    <row r="10" customFormat="false" ht="15" hidden="false" customHeight="false" outlineLevel="0" collapsed="false">
      <c r="A10" s="4" t="s">
        <v>19</v>
      </c>
      <c r="B10" s="5" t="n">
        <v>90</v>
      </c>
      <c r="C10" s="6" t="n">
        <f aca="false">B10/$B$15</f>
        <v>0.09</v>
      </c>
      <c r="D10" s="7" t="n">
        <f aca="false">D9+B10</f>
        <v>870</v>
      </c>
      <c r="E10" s="6" t="n">
        <f aca="false">D10/$B$15</f>
        <v>0.87</v>
      </c>
      <c r="F10" s="8" t="str">
        <f aca="false">IF(E10&lt;=0.8,"Vital Few","Useful Many")</f>
        <v>Useful Many</v>
      </c>
      <c r="I10" s="10" t="s">
        <v>20</v>
      </c>
      <c r="J10" s="10"/>
      <c r="K10" s="11" t="s">
        <v>21</v>
      </c>
    </row>
    <row r="11" customFormat="false" ht="15" hidden="false" customHeight="false" outlineLevel="0" collapsed="false">
      <c r="A11" s="4" t="s">
        <v>22</v>
      </c>
      <c r="B11" s="5" t="n">
        <v>60</v>
      </c>
      <c r="C11" s="6" t="n">
        <f aca="false">B11/$B$15</f>
        <v>0.06</v>
      </c>
      <c r="D11" s="7" t="n">
        <f aca="false">D10+B11</f>
        <v>930</v>
      </c>
      <c r="E11" s="6" t="n">
        <f aca="false">D11/$B$15</f>
        <v>0.93</v>
      </c>
      <c r="F11" s="8" t="str">
        <f aca="false">IF(E11&lt;=0.8,"Vital Few","Useful Many")</f>
        <v>Useful Many</v>
      </c>
      <c r="I11" s="10" t="s">
        <v>23</v>
      </c>
      <c r="J11" s="10"/>
      <c r="K11" s="11" t="s">
        <v>24</v>
      </c>
    </row>
    <row r="12" customFormat="false" ht="15" hidden="false" customHeight="false" outlineLevel="0" collapsed="false">
      <c r="A12" s="4" t="s">
        <v>25</v>
      </c>
      <c r="B12" s="5" t="n">
        <v>30</v>
      </c>
      <c r="C12" s="6" t="n">
        <f aca="false">B12/$B$15</f>
        <v>0.03</v>
      </c>
      <c r="D12" s="7" t="n">
        <f aca="false">D11+B12</f>
        <v>960</v>
      </c>
      <c r="E12" s="6" t="n">
        <f aca="false">D12/$B$15</f>
        <v>0.96</v>
      </c>
      <c r="F12" s="8" t="str">
        <f aca="false">IF(E12&lt;=0.8,"Vital Few","Useful Many")</f>
        <v>Useful Many</v>
      </c>
      <c r="I12" s="10" t="s">
        <v>26</v>
      </c>
      <c r="J12" s="10"/>
      <c r="K12" s="11" t="s">
        <v>27</v>
      </c>
    </row>
    <row r="13" customFormat="false" ht="15" hidden="false" customHeight="false" outlineLevel="0" collapsed="false">
      <c r="A13" s="4" t="s">
        <v>28</v>
      </c>
      <c r="B13" s="5" t="n">
        <v>20</v>
      </c>
      <c r="C13" s="6" t="n">
        <f aca="false">B13/$B$15</f>
        <v>0.02</v>
      </c>
      <c r="D13" s="7" t="n">
        <f aca="false">D12+B13</f>
        <v>980</v>
      </c>
      <c r="E13" s="6" t="n">
        <f aca="false">D13/$B$15</f>
        <v>0.98</v>
      </c>
      <c r="F13" s="8" t="str">
        <f aca="false">IF(E13&lt;=0.8,"Vital Few","Useful Many")</f>
        <v>Useful Many</v>
      </c>
    </row>
    <row r="14" customFormat="false" ht="15" hidden="false" customHeight="false" outlineLevel="0" collapsed="false">
      <c r="A14" s="4" t="s">
        <v>29</v>
      </c>
      <c r="B14" s="5" t="n">
        <v>20</v>
      </c>
      <c r="C14" s="6" t="n">
        <f aca="false">B14/$B$15</f>
        <v>0.02</v>
      </c>
      <c r="D14" s="7" t="n">
        <f aca="false">D13+B14</f>
        <v>1000</v>
      </c>
      <c r="E14" s="6" t="n">
        <f aca="false">D14/$B$15</f>
        <v>1</v>
      </c>
      <c r="F14" s="8" t="str">
        <f aca="false">IF(E14&lt;=0.8,"Vital Few","Useful Many")</f>
        <v>Useful Many</v>
      </c>
    </row>
    <row r="15" customFormat="false" ht="15" hidden="false" customHeight="false" outlineLevel="0" collapsed="false">
      <c r="A15" s="11" t="s">
        <v>30</v>
      </c>
      <c r="B15" s="12" t="n">
        <f aca="false">SUM(B7:B14)</f>
        <v>1000</v>
      </c>
    </row>
    <row r="17" customFormat="false" ht="15" hidden="false" customHeight="false" outlineLevel="0" collapsed="false">
      <c r="A17" s="13" t="s">
        <v>31</v>
      </c>
    </row>
    <row r="18" customFormat="false" ht="15" hidden="false" customHeight="false" outlineLevel="0" collapsed="false">
      <c r="A18" s="10" t="s">
        <v>32</v>
      </c>
      <c r="B18" s="10"/>
      <c r="C18" s="7" t="n">
        <f aca="false">COUNTIF(F7:F14,"Vital Few")</f>
        <v>3</v>
      </c>
    </row>
    <row r="19" customFormat="false" ht="15" hidden="false" customHeight="false" outlineLevel="0" collapsed="false">
      <c r="A19" s="10" t="s">
        <v>33</v>
      </c>
      <c r="B19" s="10"/>
      <c r="C19" s="7" t="n">
        <f aca="false">SUMIF(F7:F14,"Vital Few",B7:B14)</f>
        <v>780</v>
      </c>
    </row>
    <row r="20" customFormat="false" ht="15" hidden="false" customHeight="false" outlineLevel="0" collapsed="false">
      <c r="A20" s="10" t="s">
        <v>34</v>
      </c>
      <c r="B20" s="10"/>
      <c r="C20" s="6" t="n">
        <f aca="false">SUMIF(F7:F14,"Vital Few",B7:B14)/B15</f>
        <v>0.78</v>
      </c>
    </row>
    <row r="21" customFormat="false" ht="15" hidden="false" customHeight="false" outlineLevel="0" collapsed="false">
      <c r="A21" s="10" t="s">
        <v>35</v>
      </c>
      <c r="B21" s="10"/>
      <c r="C21" s="6" t="n">
        <f aca="false">COUNTIF(F7:F14,"Vital Few")/8</f>
        <v>0.375</v>
      </c>
    </row>
    <row r="23" customFormat="false" ht="15" hidden="false" customHeight="false" outlineLevel="0" collapsed="false">
      <c r="A23" s="13" t="s">
        <v>36</v>
      </c>
    </row>
    <row r="24" customFormat="false" ht="30" hidden="false" customHeight="true" outlineLevel="0" collapsed="false">
      <c r="A24" s="14" t="s">
        <v>37</v>
      </c>
      <c r="B24" s="14"/>
      <c r="C24" s="14"/>
      <c r="D24" s="11" t="s">
        <v>38</v>
      </c>
      <c r="E24" s="16" t="s">
        <v>45</v>
      </c>
      <c r="F24" s="16"/>
      <c r="G24" s="16"/>
    </row>
    <row r="25" customFormat="false" ht="30" hidden="false" customHeight="true" outlineLevel="0" collapsed="false">
      <c r="A25" s="14" t="s">
        <v>39</v>
      </c>
      <c r="B25" s="14"/>
      <c r="C25" s="14"/>
      <c r="D25" s="11" t="s">
        <v>38</v>
      </c>
      <c r="E25" s="16" t="s">
        <v>46</v>
      </c>
      <c r="F25" s="16"/>
      <c r="G25" s="16"/>
    </row>
    <row r="26" customFormat="false" ht="30" hidden="false" customHeight="true" outlineLevel="0" collapsed="false">
      <c r="A26" s="14" t="s">
        <v>40</v>
      </c>
      <c r="B26" s="14"/>
      <c r="C26" s="14"/>
      <c r="D26" s="11" t="s">
        <v>38</v>
      </c>
      <c r="E26" s="16" t="s">
        <v>47</v>
      </c>
      <c r="F26" s="16"/>
      <c r="G26" s="16"/>
    </row>
    <row r="27" customFormat="false" ht="30" hidden="false" customHeight="true" outlineLevel="0" collapsed="false">
      <c r="A27" s="14" t="s">
        <v>41</v>
      </c>
      <c r="B27" s="14"/>
      <c r="C27" s="14"/>
      <c r="D27" s="11" t="s">
        <v>38</v>
      </c>
      <c r="E27" s="16" t="s">
        <v>48</v>
      </c>
      <c r="F27" s="16"/>
      <c r="G27" s="16"/>
    </row>
    <row r="28" customFormat="false" ht="30" hidden="false" customHeight="true" outlineLevel="0" collapsed="false">
      <c r="A28" s="14" t="s">
        <v>42</v>
      </c>
      <c r="B28" s="14"/>
      <c r="C28" s="14"/>
      <c r="D28" s="11" t="s">
        <v>38</v>
      </c>
      <c r="E28" s="16" t="s">
        <v>49</v>
      </c>
      <c r="F28" s="16"/>
      <c r="G28" s="16"/>
    </row>
  </sheetData>
  <mergeCells count="25">
    <mergeCell ref="A1:G1"/>
    <mergeCell ref="A2:G2"/>
    <mergeCell ref="A3:G3"/>
    <mergeCell ref="A4:G4"/>
    <mergeCell ref="I6:K6"/>
    <mergeCell ref="I7:K7"/>
    <mergeCell ref="I8:J8"/>
    <mergeCell ref="I9:J9"/>
    <mergeCell ref="I10:J10"/>
    <mergeCell ref="I11:J11"/>
    <mergeCell ref="I12:J12"/>
    <mergeCell ref="A18:B18"/>
    <mergeCell ref="A19:B19"/>
    <mergeCell ref="A20:B20"/>
    <mergeCell ref="A21:B21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2026-07-09T18:58:56Z</dcterms:created>
  <dc:creator>openpyxl</dc:creator>
  <dc:description/>
  <dc:language>en-US</dc:language>
  <cp:lastModifiedBy/>
  <dcterms:modified xsi:type="dcterms:W3CDTF">2026-07-09T18:58:56Z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